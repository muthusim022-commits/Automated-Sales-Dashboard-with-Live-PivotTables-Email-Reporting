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aw Data" sheetId="1" r:id="rId5"/>
    <sheet state="visible" name="Pivot Summary" sheetId="2" r:id="rId6"/>
    <sheet state="visible" name="Dashboard" sheetId="3" r:id="rId7"/>
    <sheet state="visible" name="Recipients" sheetId="4" r:id="rId8"/>
    <sheet state="visible" name="Read Me" sheetId="5" r:id="rId9"/>
  </sheets>
  <definedNames/>
  <calcPr/>
</workbook>
</file>

<file path=xl/sharedStrings.xml><?xml version="1.0" encoding="utf-8"?>
<sst xmlns="http://schemas.openxmlformats.org/spreadsheetml/2006/main" count="1402" uniqueCount="365">
  <si>
    <t>Order ID</t>
  </si>
  <si>
    <t>Pivot Summary</t>
  </si>
  <si>
    <t>Date</t>
  </si>
  <si>
    <t>Region</t>
  </si>
  <si>
    <t>Category</t>
  </si>
  <si>
    <t>Cross-tab summaries built with SUMIFS/SUMPRODUCT so every cell recalculates when Raw Data changes.</t>
  </si>
  <si>
    <t>Product</t>
  </si>
  <si>
    <t>Sales Rep</t>
  </si>
  <si>
    <t>Units</t>
  </si>
  <si>
    <t>Unit Price</t>
  </si>
  <si>
    <t>Revenue by Region x Category</t>
  </si>
  <si>
    <t>Revenue</t>
  </si>
  <si>
    <t>Cost</t>
  </si>
  <si>
    <t>Profit</t>
  </si>
  <si>
    <t>Month #</t>
  </si>
  <si>
    <t>Month</t>
  </si>
  <si>
    <t>Electronics</t>
  </si>
  <si>
    <t>ORD-1068</t>
  </si>
  <si>
    <t>Apparel</t>
  </si>
  <si>
    <t>Home &amp; Garden</t>
  </si>
  <si>
    <t>Sports</t>
  </si>
  <si>
    <t>Total</t>
  </si>
  <si>
    <t>North</t>
  </si>
  <si>
    <t>Dumbbell Set</t>
  </si>
  <si>
    <t>Liam Chen</t>
  </si>
  <si>
    <t>Email</t>
  </si>
  <si>
    <t>Name (optional)</t>
  </si>
  <si>
    <t>muthusimat2@gmail.com</t>
  </si>
  <si>
    <t>Stakeholder One</t>
  </si>
  <si>
    <t>ORD-1003</t>
  </si>
  <si>
    <t>South</t>
  </si>
  <si>
    <t>Tennis Racket</t>
  </si>
  <si>
    <t>Priya Nair</t>
  </si>
  <si>
    <t>ORD-1135</t>
  </si>
  <si>
    <t>Amara Okafor</t>
  </si>
  <si>
    <t>ORD-1224</t>
  </si>
  <si>
    <t>East</t>
  </si>
  <si>
    <t>Winter Jacket</t>
  </si>
  <si>
    <t>Sofia Rossi</t>
  </si>
  <si>
    <t>ORD-1118</t>
  </si>
  <si>
    <t>4K Monitor</t>
  </si>
  <si>
    <t>Diego Fernandez</t>
  </si>
  <si>
    <t>ORD-1086</t>
  </si>
  <si>
    <t>Camping Tent</t>
  </si>
  <si>
    <t>Kwame Mensah</t>
  </si>
  <si>
    <t>ORD-1220</t>
  </si>
  <si>
    <t>West</t>
  </si>
  <si>
    <t>Bluetooth Speaker</t>
  </si>
  <si>
    <t>ORD-1251</t>
  </si>
  <si>
    <t>Garden Hose</t>
  </si>
  <si>
    <t>ORD-1056</t>
  </si>
  <si>
    <t>Patio Chair</t>
  </si>
  <si>
    <t>ORD-1078</t>
  </si>
  <si>
    <t>Monthly Revenue &amp; Profit Trend</t>
  </si>
  <si>
    <t>ORD-1139</t>
  </si>
  <si>
    <t>Units Sold</t>
  </si>
  <si>
    <t>Cordless Vacuum</t>
  </si>
  <si>
    <t>Jan</t>
  </si>
  <si>
    <t>ORD-1026</t>
  </si>
  <si>
    <t>How this workbook is built</t>
  </si>
  <si>
    <t>• Raw Data: a structured Excel Table (SalesData) with 260 orders. Revenue, Cost, Profit, and Month are all formulas. Edit or extend the raw rows and everything downstream recalculates.</t>
  </si>
  <si>
    <t>ORD-1053</t>
  </si>
  <si>
    <t>Feb</t>
  </si>
  <si>
    <t>• Pivot Summary: cross-tab and trend tables built with SUMIFS/COUNTIFS. The same result as an Excel/Google Sheets PivotTable, but formula-driven so it survives file conversion and recalculates automatically.</t>
  </si>
  <si>
    <t>• Dashboard: KPI cards and charts driven by two dropdown filters (Region, Category). The KPI formulas use SUMPRODUCT with an embedded IF which is an Excel native equivalent of an array formula, to let 'All' mean 'ignore this filter'.</t>
  </si>
  <si>
    <t>Turning this into a native PivotTable</t>
  </si>
  <si>
    <t>1. Select any cell inside the SalesData table on the Raw Data tab.</t>
  </si>
  <si>
    <t>2. Excel: Insert → PivotTable → New Worksheet.  Google Sheets: Insert → Pivot table.</t>
  </si>
  <si>
    <t>ORD-1039</t>
  </si>
  <si>
    <t>3. Drag Region / Category to Rows or Columns, and Revenue / Profit to Values.</t>
  </si>
  <si>
    <t>4. Right-click → Refresh any time you add rows to Raw Data.</t>
  </si>
  <si>
    <t>Google Sheets equivalents (QUERY / ARRAYFORMULA)</t>
  </si>
  <si>
    <t>These functions are not supported by the recalculation engine used to build this file, so the workbook uses SUMIFS/SUMPRODUCT instead. If you upload this file to Google Sheets, you can replace the Pivot Summary and Dashboard formulas with the QUERY/ARRAYFORMULA versions below:</t>
  </si>
  <si>
    <t>Region x Category revenue (single formula, replaces the whole cross-tab):</t>
  </si>
  <si>
    <t>=QUERY('Raw Data'!A1:M261,"select C, D, sum(I) where C is not null group by C pivot D",1)</t>
  </si>
  <si>
    <t>Monthly revenue trend:</t>
  </si>
  <si>
    <t>=QUERY('Raw Data'!A1:M261,"select M, sum(I) where M is not null group by M label sum(I) 'Revenue'",1)</t>
  </si>
  <si>
    <t>Filtered KPI (Total Revenue) with ARRAYFORMULA, mirroring the SUMPRODUCT card on the Dashboard tab:</t>
  </si>
  <si>
    <t>Mar</t>
  </si>
  <si>
    <t>=SUM(ARRAYFORMULA(IF(($B$4="All")+('Raw Data'!C2:C261=$B$4),1,0)*IF(($E$4="All")+('Raw Data'!D2:D261=$E$4),1,0)*'Raw Data'!I2:I261))</t>
  </si>
  <si>
    <t>Color legend</t>
  </si>
  <si>
    <t>• Gold/yellow fill with blue text for the cells you edit (filters).</t>
  </si>
  <si>
    <t>• Black text: live formulas. Do not, edit the Raw Data tab instead.</t>
  </si>
  <si>
    <t>• Navy header bars.</t>
  </si>
  <si>
    <t>Extending this template</t>
  </si>
  <si>
    <t>ORD-1234</t>
  </si>
  <si>
    <t>• Add rows to the SalesData table (they auto-format); Pivot Summary ranges reference fixed rows (2 to 261), extend those ranges if you add more than a few hundred rows.</t>
  </si>
  <si>
    <t>• Add a new dropdown value to the Data Validation list on B4/E4 to filter by a new Region or Category once you add it to Raw Data.</t>
  </si>
  <si>
    <t>ORD-1240</t>
  </si>
  <si>
    <t>Apr</t>
  </si>
  <si>
    <t>ORD-1007</t>
  </si>
  <si>
    <t>May</t>
  </si>
  <si>
    <t>ORD-1185</t>
  </si>
  <si>
    <t>ORD-1178</t>
  </si>
  <si>
    <t>LED Lamp</t>
  </si>
  <si>
    <t>Jun</t>
  </si>
  <si>
    <t>ORD-1029</t>
  </si>
  <si>
    <t>ORD-1255</t>
  </si>
  <si>
    <t>Denim Jeans</t>
  </si>
  <si>
    <t>Jul</t>
  </si>
  <si>
    <t>ORD-1233</t>
  </si>
  <si>
    <t>Smart Watch</t>
  </si>
  <si>
    <t>Aug</t>
  </si>
  <si>
    <t>ORD-1055</t>
  </si>
  <si>
    <t>ORD-1041</t>
  </si>
  <si>
    <t>Yoga Mat</t>
  </si>
  <si>
    <t>Sep</t>
  </si>
  <si>
    <t>ORD-1192</t>
  </si>
  <si>
    <t>Oct</t>
  </si>
  <si>
    <t>ORD-1021</t>
  </si>
  <si>
    <t>Nov</t>
  </si>
  <si>
    <t>ORD-1221</t>
  </si>
  <si>
    <t>Running Shoes</t>
  </si>
  <si>
    <t>ORD-1209</t>
  </si>
  <si>
    <t>Dec</t>
  </si>
  <si>
    <t>ORD-1252</t>
  </si>
  <si>
    <t>ORD-1138</t>
  </si>
  <si>
    <t>Wireless Earbuds</t>
  </si>
  <si>
    <t>Sales Rep Leaderboard</t>
  </si>
  <si>
    <t>Orders</t>
  </si>
  <si>
    <t>Avg Order Value</t>
  </si>
  <si>
    <t>ORD-1202</t>
  </si>
  <si>
    <t>ORD-1176</t>
  </si>
  <si>
    <t>ORD-1109</t>
  </si>
  <si>
    <t>ORD-1001</t>
  </si>
  <si>
    <t>ORD-1030</t>
  </si>
  <si>
    <t>ORD-1168</t>
  </si>
  <si>
    <t>ORD-1187</t>
  </si>
  <si>
    <t>ORD-1225</t>
  </si>
  <si>
    <t>ORD-1020</t>
  </si>
  <si>
    <t>ORD-1048</t>
  </si>
  <si>
    <t>ORD-1126</t>
  </si>
  <si>
    <t>ORD-1058</t>
  </si>
  <si>
    <t>ORD-1122</t>
  </si>
  <si>
    <t>ORD-1099</t>
  </si>
  <si>
    <t>ORD-1153</t>
  </si>
  <si>
    <t>ORD-1163</t>
  </si>
  <si>
    <t>ORD-1171</t>
  </si>
  <si>
    <t>ORD-1079</t>
  </si>
  <si>
    <t>ORD-1047</t>
  </si>
  <si>
    <t>Graphic Tee</t>
  </si>
  <si>
    <t>ORD-1027</t>
  </si>
  <si>
    <t>ORD-1149</t>
  </si>
  <si>
    <t>ORD-1150</t>
  </si>
  <si>
    <t>ORD-1044</t>
  </si>
  <si>
    <t>ORD-1014</t>
  </si>
  <si>
    <t>ORD-1217</t>
  </si>
  <si>
    <t>ORD-1114</t>
  </si>
  <si>
    <t>Sales Performance Dashboard</t>
  </si>
  <si>
    <t>FY2025  |  Interactive filters below drive every KPI card via SUMPRODUCT array formulas</t>
  </si>
  <si>
    <t>ORD-1208</t>
  </si>
  <si>
    <t>◀ Tick to send the report now</t>
  </si>
  <si>
    <t>Region:</t>
  </si>
  <si>
    <t>ORD-1140</t>
  </si>
  <si>
    <t>All</t>
  </si>
  <si>
    <t>ORD-1019</t>
  </si>
  <si>
    <t>Category:</t>
  </si>
  <si>
    <t>Total Revenue</t>
  </si>
  <si>
    <t>ORD-1213</t>
  </si>
  <si>
    <t>Total Profit</t>
  </si>
  <si>
    <t>ORD-1051</t>
  </si>
  <si>
    <t>Profit Margin</t>
  </si>
  <si>
    <t>ORD-1179</t>
  </si>
  <si>
    <t>ORD-1064</t>
  </si>
  <si>
    <t>ORD-1196</t>
  </si>
  <si>
    <t>ORD-1110</t>
  </si>
  <si>
    <t>ORD-1062</t>
  </si>
  <si>
    <t>ORD-1190</t>
  </si>
  <si>
    <t>ORD-1031</t>
  </si>
  <si>
    <t>ORD-1113</t>
  </si>
  <si>
    <t>ORD-1050</t>
  </si>
  <si>
    <t>ORD-1094</t>
  </si>
  <si>
    <t>ORD-1211</t>
  </si>
  <si>
    <t>ORD-1173</t>
  </si>
  <si>
    <t>ORD-1147</t>
  </si>
  <si>
    <t>Revenue by Region</t>
  </si>
  <si>
    <t>ORD-1065</t>
  </si>
  <si>
    <t>Category Share</t>
  </si>
  <si>
    <t>Monthly Revenue Trend</t>
  </si>
  <si>
    <t>Top Sales Reps</t>
  </si>
  <si>
    <t>ORD-1152</t>
  </si>
  <si>
    <t>ORD-1054</t>
  </si>
  <si>
    <t>ORD-1074</t>
  </si>
  <si>
    <t>ORD-1132</t>
  </si>
  <si>
    <t>ORD-1164</t>
  </si>
  <si>
    <t>ORD-1073</t>
  </si>
  <si>
    <t>ORD-1084</t>
  </si>
  <si>
    <t>ORD-1215</t>
  </si>
  <si>
    <t>ORD-1096</t>
  </si>
  <si>
    <t>ORD-1228</t>
  </si>
  <si>
    <t>ORD-1092</t>
  </si>
  <si>
    <t>ORD-1107</t>
  </si>
  <si>
    <t>ORD-1046</t>
  </si>
  <si>
    <t>ORD-1230</t>
  </si>
  <si>
    <t>ORD-1189</t>
  </si>
  <si>
    <t>ORD-1085</t>
  </si>
  <si>
    <t>ORD-1018</t>
  </si>
  <si>
    <t>ORD-1042</t>
  </si>
  <si>
    <t>ORD-1136</t>
  </si>
  <si>
    <t>ORD-1091</t>
  </si>
  <si>
    <t>ORD-1116</t>
  </si>
  <si>
    <t>ORD-1127</t>
  </si>
  <si>
    <t>ORD-1181</t>
  </si>
  <si>
    <t>ORD-1095</t>
  </si>
  <si>
    <t>ORD-1119</t>
  </si>
  <si>
    <t>ORD-1180</t>
  </si>
  <si>
    <t>ORD-1045</t>
  </si>
  <si>
    <t>ORD-1121</t>
  </si>
  <si>
    <t>ORD-1124</t>
  </si>
  <si>
    <t>ORD-1151</t>
  </si>
  <si>
    <t>ORD-1212</t>
  </si>
  <si>
    <t>ORD-1239</t>
  </si>
  <si>
    <t>ORD-1102</t>
  </si>
  <si>
    <t>ORD-1144</t>
  </si>
  <si>
    <t>ORD-1156</t>
  </si>
  <si>
    <t>ORD-1184</t>
  </si>
  <si>
    <t>ORD-1040</t>
  </si>
  <si>
    <t>ORD-1137</t>
  </si>
  <si>
    <t>ORD-1203</t>
  </si>
  <si>
    <t>ORD-1117</t>
  </si>
  <si>
    <t>ORD-1081</t>
  </si>
  <si>
    <t>ORD-1052</t>
  </si>
  <si>
    <t>ORD-1120</t>
  </si>
  <si>
    <t>ORD-1004</t>
  </si>
  <si>
    <t>ORD-1206</t>
  </si>
  <si>
    <t>ORD-1204</t>
  </si>
  <si>
    <t>ORD-1191</t>
  </si>
  <si>
    <t>ORD-1145</t>
  </si>
  <si>
    <t>ORD-1166</t>
  </si>
  <si>
    <t>ORD-1090</t>
  </si>
  <si>
    <t>ORD-1123</t>
  </si>
  <si>
    <t>ORD-1194</t>
  </si>
  <si>
    <t>ORD-1214</t>
  </si>
  <si>
    <t>ORD-1243</t>
  </si>
  <si>
    <t>ORD-1236</t>
  </si>
  <si>
    <t>ORD-1158</t>
  </si>
  <si>
    <t>ORD-1244</t>
  </si>
  <si>
    <t>ORD-1154</t>
  </si>
  <si>
    <t>ORD-1175</t>
  </si>
  <si>
    <t>ORD-1006</t>
  </si>
  <si>
    <t>ORD-1133</t>
  </si>
  <si>
    <t>ORD-1141</t>
  </si>
  <si>
    <t>ORD-1128</t>
  </si>
  <si>
    <t>ORD-1207</t>
  </si>
  <si>
    <t>ORD-1034</t>
  </si>
  <si>
    <t>ORD-1077</t>
  </si>
  <si>
    <t>ORD-1245</t>
  </si>
  <si>
    <t>ORD-1174</t>
  </si>
  <si>
    <t>ORD-1011</t>
  </si>
  <si>
    <t>ORD-1097</t>
  </si>
  <si>
    <t>ORD-1193</t>
  </si>
  <si>
    <t>ORD-1253</t>
  </si>
  <si>
    <t>ORD-1167</t>
  </si>
  <si>
    <t>ORD-1098</t>
  </si>
  <si>
    <t>ORD-1049</t>
  </si>
  <si>
    <t>ORD-1043</t>
  </si>
  <si>
    <t>ORD-1108</t>
  </si>
  <si>
    <t>ORD-1143</t>
  </si>
  <si>
    <t>ORD-1186</t>
  </si>
  <si>
    <t>ORD-1200</t>
  </si>
  <si>
    <t>ORD-1160</t>
  </si>
  <si>
    <t>ORD-1248</t>
  </si>
  <si>
    <t>ORD-1008</t>
  </si>
  <si>
    <t>ORD-1112</t>
  </si>
  <si>
    <t>ORD-1162</t>
  </si>
  <si>
    <t>ORD-1142</t>
  </si>
  <si>
    <t>ORD-1080</t>
  </si>
  <si>
    <t>ORD-1201</t>
  </si>
  <si>
    <t>ORD-1216</t>
  </si>
  <si>
    <t>ORD-1082</t>
  </si>
  <si>
    <t>ORD-1111</t>
  </si>
  <si>
    <t>ORD-1223</t>
  </si>
  <si>
    <t>ORD-1022</t>
  </si>
  <si>
    <t>ORD-1071</t>
  </si>
  <si>
    <t>ORD-1105</t>
  </si>
  <si>
    <t>ORD-1104</t>
  </si>
  <si>
    <t>ORD-1033</t>
  </si>
  <si>
    <t>ORD-1035</t>
  </si>
  <si>
    <t>ORD-1170</t>
  </si>
  <si>
    <t>ORD-1157</t>
  </si>
  <si>
    <t>ORD-1237</t>
  </si>
  <si>
    <t>ORD-1012</t>
  </si>
  <si>
    <t>ORD-1246</t>
  </si>
  <si>
    <t>ORD-1002</t>
  </si>
  <si>
    <t>ORD-1172</t>
  </si>
  <si>
    <t>ORD-1129</t>
  </si>
  <si>
    <t>ORD-1250</t>
  </si>
  <si>
    <t>ORD-1219</t>
  </si>
  <si>
    <t>ORD-1024</t>
  </si>
  <si>
    <t>ORD-1072</t>
  </si>
  <si>
    <t>ORD-1195</t>
  </si>
  <si>
    <t>ORD-1205</t>
  </si>
  <si>
    <t>ORD-1229</t>
  </si>
  <si>
    <t>ORD-1016</t>
  </si>
  <si>
    <t>ORD-1037</t>
  </si>
  <si>
    <t>ORD-1183</t>
  </si>
  <si>
    <t>ORD-1059</t>
  </si>
  <si>
    <t>ORD-1165</t>
  </si>
  <si>
    <t>ORD-1036</t>
  </si>
  <si>
    <t>ORD-1075</t>
  </si>
  <si>
    <t>ORD-1032</t>
  </si>
  <si>
    <t>ORD-1131</t>
  </si>
  <si>
    <t>ORD-1257</t>
  </si>
  <si>
    <t>ORD-1069</t>
  </si>
  <si>
    <t>ORD-1070</t>
  </si>
  <si>
    <t>ORD-1013</t>
  </si>
  <si>
    <t>ORD-1155</t>
  </si>
  <si>
    <t>ORD-1199</t>
  </si>
  <si>
    <t>ORD-1088</t>
  </si>
  <si>
    <t>ORD-1146</t>
  </si>
  <si>
    <t>ORD-1182</t>
  </si>
  <si>
    <t>ORD-1115</t>
  </si>
  <si>
    <t>ORD-1063</t>
  </si>
  <si>
    <t>ORD-1130</t>
  </si>
  <si>
    <t>ORD-1076</t>
  </si>
  <si>
    <t>ORD-1025</t>
  </si>
  <si>
    <t>ORD-1101</t>
  </si>
  <si>
    <t>ORD-1134</t>
  </si>
  <si>
    <t>ORD-1057</t>
  </si>
  <si>
    <t>ORD-1188</t>
  </si>
  <si>
    <t>ORD-1198</t>
  </si>
  <si>
    <t>ORD-1238</t>
  </si>
  <si>
    <t>ORD-1005</t>
  </si>
  <si>
    <t>ORD-1259</t>
  </si>
  <si>
    <t>ORD-1066</t>
  </si>
  <si>
    <t>ORD-1247</t>
  </si>
  <si>
    <t>ORD-1159</t>
  </si>
  <si>
    <t>ORD-1231</t>
  </si>
  <si>
    <t>ORD-1227</t>
  </si>
  <si>
    <t>ORD-1241</t>
  </si>
  <si>
    <t>ORD-1000</t>
  </si>
  <si>
    <t>ORD-1010</t>
  </si>
  <si>
    <t>ORD-1226</t>
  </si>
  <si>
    <t>ORD-1017</t>
  </si>
  <si>
    <t>ORD-1258</t>
  </si>
  <si>
    <t>ORD-1169</t>
  </si>
  <si>
    <t>ORD-1232</t>
  </si>
  <si>
    <t>ORD-1148</t>
  </si>
  <si>
    <t>ORD-1161</t>
  </si>
  <si>
    <t>ORD-1197</t>
  </si>
  <si>
    <t>ORD-1089</t>
  </si>
  <si>
    <t>ORD-1235</t>
  </si>
  <si>
    <t>ORD-1222</t>
  </si>
  <si>
    <t>ORD-1083</t>
  </si>
  <si>
    <t>ORD-1028</t>
  </si>
  <si>
    <t>ORD-1060</t>
  </si>
  <si>
    <t>ORD-1093</t>
  </si>
  <si>
    <t>ORD-1177</t>
  </si>
  <si>
    <t>ORD-1210</t>
  </si>
  <si>
    <t>ORD-1038</t>
  </si>
  <si>
    <t>ORD-1242</t>
  </si>
  <si>
    <t>ORD-1015</t>
  </si>
  <si>
    <t>ORD-1254</t>
  </si>
  <si>
    <t>ORD-1106</t>
  </si>
  <si>
    <t>ORD-1023</t>
  </si>
  <si>
    <t>ORD-1087</t>
  </si>
  <si>
    <t>ORD-1100</t>
  </si>
  <si>
    <t>ORD-1061</t>
  </si>
  <si>
    <t>ORD-1067</t>
  </si>
  <si>
    <t>ORD-1103</t>
  </si>
  <si>
    <t>ORD-1009</t>
  </si>
  <si>
    <t>ORD-1125</t>
  </si>
  <si>
    <t>ORD-1249</t>
  </si>
  <si>
    <t>ORD-1256</t>
  </si>
  <si>
    <t>ORD-1218</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</si>
</sst>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yyyy\-mm\-dd"/>
    <numFmt numFmtId="165" formatCode="\$#,##0"/>
    <numFmt numFmtId="166" formatCode="0.0%"/>
  </numFmts>
  <fonts count="15">
    <font>
      <sz val="11.0"/>
      <color theme="1"/>
      <name val="Calibri"/>
      <scheme val="minor"/>
    </font>
    <font>
      <b/>
      <sz val="11.0"/>
      <color rgb="FFFFFFFF"/>
      <name val="Arial"/>
    </font>
    <font>
      <b/>
      <sz val="18.0"/>
      <color rgb="FF1F3864"/>
      <name val="Arial"/>
    </font>
    <font>
      <i/>
      <sz val="10.0"/>
      <color rgb="FF808080"/>
      <name val="Arial"/>
    </font>
    <font>
      <b/>
      <sz val="13.0"/>
      <color rgb="FF1F3864"/>
      <name val="Arial"/>
    </font>
    <font>
      <sz val="10.0"/>
      <color theme="1"/>
      <name val="Arial"/>
    </font>
    <font>
      <b/>
      <sz val="10.0"/>
      <color theme="1"/>
      <name val="Arial"/>
    </font>
    <font>
      <b/>
      <color rgb="FFFFFFFF"/>
      <name val="Calibri"/>
      <scheme val="minor"/>
    </font>
    <font>
      <color theme="1"/>
      <name val="Calibri"/>
      <scheme val="minor"/>
    </font>
    <font>
      <sz val="11.0"/>
      <color theme="1"/>
      <name val="Calibri"/>
    </font>
    <font>
      <b/>
      <color rgb="FF1F3864"/>
      <name val="Calibri"/>
      <scheme val="minor"/>
    </font>
    <font>
      <b/>
      <sz val="10.0"/>
      <color rgb="FF0000FF"/>
      <name val="Arial"/>
    </font>
    <font>
      <b/>
      <sz val="10.0"/>
      <color rgb="FF808080"/>
      <name val="Arial"/>
    </font>
    <font/>
    <font>
      <b/>
      <sz val="20.0"/>
      <color rgb="FF1F3864"/>
      <name val="Arial"/>
    </font>
  </fonts>
  <fills count="5">
    <fill>
      <patternFill patternType="none"/>
    </fill>
    <fill>
      <patternFill patternType="lightGray"/>
    </fill>
    <fill>
      <patternFill patternType="solid">
        <fgColor rgb="FF1F3864"/>
        <bgColor rgb="FF1F3864"/>
      </patternFill>
    </fill>
    <fill>
      <patternFill patternType="solid">
        <fgColor rgb="FFFFF2CC"/>
        <bgColor rgb="FFFFF2CC"/>
      </patternFill>
    </fill>
    <fill>
      <patternFill patternType="solid">
        <fgColor rgb="FFDDEBF7"/>
        <bgColor rgb="FFDDEBF7"/>
      </patternFill>
    </fill>
  </fills>
  <borders count="4">
    <border/>
    <border>
      <left style="thin">
        <color rgb="FFBFBFBF"/>
      </left>
      <right style="thin">
        <color rgb="FFBFBFBF"/>
      </right>
      <top style="thin">
        <color rgb="FFBFBFBF"/>
      </top>
      <bottom style="thin">
        <color rgb="FFBFBFBF"/>
      </bottom>
    </border>
    <border>
      <left style="thin">
        <color rgb="FFBFBFBF"/>
      </left>
      <top style="thin">
        <color rgb="FFBFBFBF"/>
      </top>
      <bottom style="thin">
        <color rgb="FFBFBFBF"/>
      </bottom>
    </border>
    <border>
      <right style="thin">
        <color rgb="FFBFBFBF"/>
      </right>
      <top style="thin">
        <color rgb="FFBFBFBF"/>
      </top>
      <bottom style="thin">
        <color rgb="FFBFBFBF"/>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0"/>
    </xf>
    <xf borderId="0" fillId="0" fontId="2" numFmtId="0" xfId="0" applyAlignment="1" applyFont="1">
      <alignment shrinkToFit="0" vertical="bottom" wrapText="0"/>
    </xf>
    <xf borderId="0" fillId="0" fontId="3" numFmtId="0" xfId="0" applyAlignment="1" applyFont="1">
      <alignment shrinkToFit="0" vertical="bottom" wrapText="0"/>
    </xf>
    <xf borderId="0" fillId="0" fontId="4" numFmtId="0" xfId="0" applyAlignment="1" applyFont="1">
      <alignment shrinkToFit="0" vertical="bottom" wrapText="0"/>
    </xf>
    <xf borderId="0" fillId="0" fontId="5" numFmtId="0" xfId="0" applyAlignment="1" applyFont="1">
      <alignment shrinkToFit="0" vertical="bottom" wrapText="0"/>
    </xf>
    <xf borderId="0" fillId="0" fontId="5" numFmtId="164" xfId="0" applyAlignment="1" applyFont="1" applyNumberFormat="1">
      <alignment shrinkToFit="0" vertical="bottom" wrapText="0"/>
    </xf>
    <xf borderId="1" fillId="0" fontId="6" numFmtId="0" xfId="0" applyAlignment="1" applyBorder="1" applyFont="1">
      <alignment shrinkToFit="0" vertical="bottom" wrapText="0"/>
    </xf>
    <xf borderId="0" fillId="0" fontId="5" numFmtId="165" xfId="0" applyAlignment="1" applyFont="1" applyNumberFormat="1">
      <alignment shrinkToFit="0" vertical="bottom" wrapText="0"/>
    </xf>
    <xf borderId="0" fillId="2" fontId="7" numFmtId="0" xfId="0" applyAlignment="1" applyFill="1" applyFont="1">
      <alignment readingOrder="0"/>
    </xf>
    <xf borderId="0" fillId="0" fontId="8" numFmtId="0" xfId="0" applyAlignment="1" applyFont="1">
      <alignment readingOrder="0"/>
    </xf>
    <xf borderId="1" fillId="0" fontId="9" numFmtId="165" xfId="0" applyAlignment="1" applyBorder="1" applyFont="1" applyNumberFormat="1">
      <alignment shrinkToFit="0" vertical="bottom" wrapText="0"/>
    </xf>
    <xf borderId="1" fillId="0" fontId="6" numFmtId="165" xfId="0" applyAlignment="1" applyBorder="1" applyFont="1" applyNumberFormat="1">
      <alignment shrinkToFit="0" vertical="bottom" wrapText="0"/>
    </xf>
    <xf borderId="1" fillId="0" fontId="5" numFmtId="0" xfId="0" applyAlignment="1" applyBorder="1" applyFont="1">
      <alignment shrinkToFit="0" vertical="bottom" wrapText="0"/>
    </xf>
    <xf borderId="0" fillId="0" fontId="4" numFmtId="0" xfId="0" applyAlignment="1" applyFont="1">
      <alignment shrinkToFit="0" vertical="top" wrapText="1"/>
    </xf>
    <xf borderId="0" fillId="0" fontId="5" numFmtId="0" xfId="0" applyAlignment="1" applyFont="1">
      <alignment readingOrder="0" shrinkToFit="0" vertical="top" wrapText="1"/>
    </xf>
    <xf borderId="1" fillId="0" fontId="9" numFmtId="3" xfId="0" applyAlignment="1" applyBorder="1" applyFont="1" applyNumberFormat="1">
      <alignment shrinkToFit="0" vertical="bottom" wrapText="0"/>
    </xf>
    <xf borderId="0" fillId="0" fontId="4" numFmtId="0" xfId="0" applyAlignment="1" applyFont="1">
      <alignment readingOrder="0" shrinkToFit="0" vertical="top" wrapText="1"/>
    </xf>
    <xf borderId="0" fillId="0" fontId="5" numFmtId="0" xfId="0" applyAlignment="1" applyFont="1">
      <alignment shrinkToFit="0" vertical="top" wrapText="1"/>
    </xf>
    <xf borderId="0" fillId="0" fontId="6" numFmtId="0" xfId="0" applyAlignment="1" applyFont="1">
      <alignment shrinkToFit="0" vertical="top" wrapText="1"/>
    </xf>
    <xf borderId="0" fillId="0" fontId="10" numFmtId="0" xfId="0" applyAlignment="1" applyFont="1">
      <alignment readingOrder="0"/>
    </xf>
    <xf borderId="0" fillId="0" fontId="6" numFmtId="0" xfId="0" applyAlignment="1" applyFont="1">
      <alignment shrinkToFit="0" vertical="bottom" wrapText="0"/>
    </xf>
    <xf borderId="1" fillId="3" fontId="11" numFmtId="0" xfId="0" applyAlignment="1" applyBorder="1" applyFill="1" applyFont="1">
      <alignment readingOrder="0" shrinkToFit="0" vertical="bottom" wrapText="0"/>
    </xf>
    <xf borderId="2" fillId="4" fontId="12" numFmtId="0" xfId="0" applyAlignment="1" applyBorder="1" applyFill="1" applyFont="1">
      <alignment horizontal="left" shrinkToFit="0" vertical="bottom" wrapText="0"/>
    </xf>
    <xf borderId="3" fillId="0" fontId="13" numFmtId="0" xfId="0" applyBorder="1" applyFont="1"/>
    <xf borderId="2" fillId="4" fontId="12" numFmtId="0" xfId="0" applyAlignment="1" applyBorder="1" applyFill="1" applyFont="1">
      <alignment shrinkToFit="0" vertical="bottom" wrapText="0"/>
    </xf>
    <xf borderId="2" fillId="4" fontId="14" numFmtId="165" xfId="0" applyAlignment="1" applyBorder="1" applyFill="1" applyFont="1" applyNumberFormat="1">
      <alignment shrinkToFit="0" vertical="bottom" wrapText="0"/>
    </xf>
    <xf borderId="2" fillId="4" fontId="14" numFmtId="3" xfId="0" applyAlignment="1" applyBorder="1" applyFill="1" applyFont="1" applyNumberFormat="1">
      <alignment shrinkToFit="0" vertical="bottom" wrapText="0"/>
    </xf>
    <xf borderId="2" fillId="4" fontId="14" numFmtId="166" xfId="0" applyAlignment="1" applyBorder="1" applyFill="1" applyFont="1" applyNumberFormat="1">
      <alignment shrinkToFit="0" vertical="bottom" wrapText="0"/>
    </xf>
    <xf borderId="1" fillId="0" fontId="9" numFmtId="0" xfId="0" applyAlignment="1" applyBorder="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tx>
            <c:v>Total</c:v>
          </c:tx>
          <c:spPr>
            <a:solidFill>
              <a:srgbClr val="4F81BD"/>
            </a:solidFill>
            <a:ln cmpd="sng">
              <a:noFill/>
            </a:ln>
          </c:spPr>
          <c:cat>
            <c:strRef>
              <c:f>'Pivot Summary'!$A$6:$A$9</c:f>
            </c:strRef>
          </c:cat>
          <c:val>
            <c:numRef>
              <c:f>'Pivot Summary'!$F$6:$F$9</c:f>
              <c:numCache/>
            </c:numRef>
          </c:val>
        </c:ser>
        <c:axId val="1060940444"/>
        <c:axId val="786459838"/>
      </c:barChart>
      <c:catAx>
        <c:axId val="106094044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786459838"/>
      </c:catAx>
      <c:valAx>
        <c:axId val="786459838"/>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Revenue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1060940444"/>
      </c:valAx>
    </c:plotArea>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pieChart>
        <c:varyColors val="1"/>
        <c:ser>
          <c:idx val="0"/>
          <c:order val="0"/>
          <c:dPt>
            <c:idx val="0"/>
            <c:spPr>
              <a:solidFill>
                <a:srgbClr val="4F81BD"/>
              </a:solidFill>
            </c:spPr>
          </c:dPt>
          <c:dLbls>
            <c:dLbl>
              <c:idx val="0"/>
              <c:txPr>
                <a:bodyPr/>
                <a:lstStyle/>
                <a:p>
                  <a:pPr lvl="0">
                    <a:defRPr b="0" i="0" sz="1000">
                      <a:latin typeface="Arial"/>
                    </a:defRPr>
                  </a:pPr>
                </a:p>
              </c:txPr>
              <c:showLegendKey val="0"/>
              <c:showVal val="0"/>
              <c:showCatName val="0"/>
              <c:showSerName val="0"/>
              <c:showPercent val="0"/>
              <c:showBubbleSize val="0"/>
            </c:dLbl>
            <c:showLegendKey val="0"/>
            <c:showVal val="0"/>
            <c:showCatName val="0"/>
            <c:showSerName val="0"/>
            <c:showPercent val="0"/>
            <c:showBubbleSize val="0"/>
            <c:showLeaderLines val="1"/>
          </c:dLbls>
          <c:cat>
            <c:strRef>
              <c:f>'Pivot Summary'!$B$5:$E$5</c:f>
            </c:strRef>
          </c:cat>
          <c:val>
            <c:numRef>
              <c:f>'Pivot Summary'!$B$10</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lineChart>
        <c:varyColors val="0"/>
        <c:ser>
          <c:idx val="0"/>
          <c:order val="0"/>
          <c:tx>
            <c:v>Revenue</c:v>
          </c:tx>
          <c:spPr>
            <a:ln cmpd="sng" w="19050">
              <a:solidFill>
                <a:srgbClr val="4A7EBB">
                  <a:alpha val="100000"/>
                </a:srgbClr>
              </a:solidFill>
            </a:ln>
          </c:spPr>
          <c:marker>
            <c:symbol val="none"/>
          </c:marker>
          <c:cat>
            <c:strRef>
              <c:f>'Pivot Summary'!$A$15:$A$26</c:f>
            </c:strRef>
          </c:cat>
          <c:val>
            <c:numRef>
              <c:f>'Pivot Summary'!$B$15:$B$26</c:f>
              <c:numCache/>
            </c:numRef>
          </c:val>
          <c:smooth val="1"/>
        </c:ser>
        <c:axId val="959496452"/>
        <c:axId val="621730953"/>
      </c:lineChart>
      <c:catAx>
        <c:axId val="95949645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a:ln>
            <a:noFill/>
          </a:ln>
        </c:spPr>
        <c:txPr>
          <a:bodyPr/>
          <a:lstStyle/>
          <a:p>
            <a:pPr lvl="0">
              <a:defRPr b="0" i="0" sz="1000">
                <a:solidFill>
                  <a:srgbClr val="000000"/>
                </a:solidFill>
                <a:latin typeface="Calibri"/>
              </a:defRPr>
            </a:pPr>
          </a:p>
        </c:txPr>
        <c:crossAx val="621730953"/>
      </c:catAx>
      <c:valAx>
        <c:axId val="621730953"/>
        <c:scaling>
          <c:orientation val="minMax"/>
        </c:scaling>
        <c:delete val="0"/>
        <c:axPos val="l"/>
        <c:majorGridlines>
          <c:spPr>
            <a:ln>
              <a:solidFill>
                <a:srgbClr val="B7B7B7"/>
              </a:solidFill>
            </a:ln>
          </c:spPr>
        </c:majorGridlines>
        <c:title>
          <c:tx>
            <c:rich>
              <a:bodyPr/>
              <a:lstStyle/>
              <a:p>
                <a:pPr lvl="0">
                  <a:defRPr b="1" i="0" sz="1000">
                    <a:solidFill>
                      <a:srgbClr val="000000"/>
                    </a:solidFill>
                    <a:latin typeface="Calibri"/>
                  </a:defRPr>
                </a:pPr>
                <a:r>
                  <a:rPr b="1" i="0" sz="1000">
                    <a:solidFill>
                      <a:srgbClr val="000000"/>
                    </a:solidFill>
                    <a:latin typeface="Calibri"/>
                  </a:rPr>
                  <a:t>Revenue ($)</a:t>
                </a:r>
              </a:p>
            </c:rich>
          </c:tx>
          <c:overlay val="0"/>
        </c:title>
        <c:numFmt formatCode="General" sourceLinked="1"/>
        <c:majorTickMark val="none"/>
        <c:minorTickMark val="none"/>
        <c:tickLblPos val="nextTo"/>
        <c:spPr>
          <a:ln>
            <a:noFill/>
          </a:ln>
        </c:spPr>
        <c:txPr>
          <a:bodyPr/>
          <a:lstStyle/>
          <a:p>
            <a:pPr lvl="0">
              <a:defRPr b="0" i="0" sz="1000">
                <a:solidFill>
                  <a:srgbClr val="000000"/>
                </a:solidFill>
                <a:latin typeface="Calibri"/>
              </a:defRPr>
            </a:pPr>
          </a:p>
        </c:txPr>
        <c:crossAx val="959496452"/>
      </c:valAx>
    </c:plotArea>
    <c:legend>
      <c:legendPos val="r"/>
      <c:overlay val="0"/>
      <c:txPr>
        <a:bodyPr/>
        <a:lstStyle/>
        <a:p>
          <a:pPr lvl="0">
            <a:defRPr b="0" i="0" sz="1000">
              <a:solidFill>
                <a:srgbClr val="000000"/>
              </a:solidFill>
              <a:latin typeface="Calibri"/>
            </a:defRPr>
          </a:pPr>
        </a:p>
      </c:txPr>
    </c:legend>
    <c:plotVisOnly val="1"/>
  </c:chart>
  <c:spPr>
    <a:solidFill>
      <a:srgbClr val="FFFFFF"/>
    </a:solidFill>
  </c:spPr>
</c:chartSpace>
</file>

<file path=xl/drawings/_rels/drawing3.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8</xdr:row>
      <xdr:rowOff>171450</xdr:rowOff>
    </xdr:from>
    <xdr:ext cx="4772025" cy="3000375"/>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5</xdr:col>
      <xdr:colOff>0</xdr:colOff>
      <xdr:row>8</xdr:row>
      <xdr:rowOff>171450</xdr:rowOff>
    </xdr:from>
    <xdr:ext cx="4810125" cy="3000375"/>
    <xdr:graphicFrame>
      <xdr:nvGraphicFramePr>
        <xdr:cNvPr id="2" name="Chart 2"/>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0</xdr:col>
      <xdr:colOff>0</xdr:colOff>
      <xdr:row>26</xdr:row>
      <xdr:rowOff>152400</xdr:rowOff>
    </xdr:from>
    <xdr:ext cx="6838950" cy="3000375"/>
    <xdr:graphicFrame>
      <xdr:nvGraphicFramePr>
        <xdr:cNvPr id="3" name="Chart 3"/>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2" width="12.0"/>
    <col customWidth="1" min="3" max="3" width="10.0"/>
    <col customWidth="1" min="4" max="4" width="15.0"/>
    <col customWidth="1" min="5" max="6" width="18.0"/>
    <col customWidth="1" min="7" max="7" width="8.0"/>
    <col customWidth="1" min="8" max="11" width="11.0"/>
    <col customWidth="1" min="12" max="12" width="9.0"/>
    <col customWidth="1" min="13" max="13" width="8.0"/>
    <col customWidth="1" min="14" max="26" width="8.71"/>
  </cols>
  <sheetData>
    <row r="1">
      <c r="A1" s="1" t="s">
        <v>0</v>
      </c>
      <c r="B1" s="1" t="s">
        <v>2</v>
      </c>
      <c r="C1" s="1" t="s">
        <v>3</v>
      </c>
      <c r="D1" s="1" t="s">
        <v>4</v>
      </c>
      <c r="E1" s="1" t="s">
        <v>6</v>
      </c>
      <c r="F1" s="1" t="s">
        <v>7</v>
      </c>
      <c r="G1" s="1" t="s">
        <v>8</v>
      </c>
      <c r="H1" s="1" t="s">
        <v>9</v>
      </c>
      <c r="I1" s="1" t="s">
        <v>11</v>
      </c>
      <c r="J1" s="1" t="s">
        <v>12</v>
      </c>
      <c r="K1" s="1" t="s">
        <v>13</v>
      </c>
      <c r="L1" s="1" t="s">
        <v>14</v>
      </c>
      <c r="M1" s="1" t="s">
        <v>15</v>
      </c>
    </row>
    <row r="2">
      <c r="A2" s="5" t="s">
        <v>17</v>
      </c>
      <c r="B2" s="6">
        <v>45660.0</v>
      </c>
      <c r="C2" s="5" t="s">
        <v>22</v>
      </c>
      <c r="D2" s="5" t="s">
        <v>20</v>
      </c>
      <c r="E2" s="5" t="s">
        <v>23</v>
      </c>
      <c r="F2" s="5" t="s">
        <v>24</v>
      </c>
      <c r="G2" s="5">
        <v>34.0</v>
      </c>
      <c r="H2" s="8">
        <v>89.0</v>
      </c>
      <c r="I2" s="8">
        <f t="shared" ref="I2:I261" si="1">G2*H2</f>
        <v>3026</v>
      </c>
      <c r="J2" s="8">
        <f>ROUND(I2*0.629,2)</f>
        <v>1903.35</v>
      </c>
      <c r="K2" s="8">
        <f t="shared" ref="K2:K261" si="2">I2-J2</f>
        <v>1122.65</v>
      </c>
      <c r="L2" s="5">
        <f t="shared" ref="L2:L261" si="3">MONTH(B2)</f>
        <v>1</v>
      </c>
      <c r="M2" s="5" t="str">
        <f t="shared" ref="M2:M261" si="4">TEXT(B2,"mmm")</f>
        <v>Jan</v>
      </c>
    </row>
    <row r="3">
      <c r="A3" s="5" t="s">
        <v>29</v>
      </c>
      <c r="B3" s="6">
        <v>45661.0</v>
      </c>
      <c r="C3" s="5" t="s">
        <v>30</v>
      </c>
      <c r="D3" s="5" t="s">
        <v>20</v>
      </c>
      <c r="E3" s="5" t="s">
        <v>31</v>
      </c>
      <c r="F3" s="5" t="s">
        <v>32</v>
      </c>
      <c r="G3" s="5">
        <v>10.0</v>
      </c>
      <c r="H3" s="8">
        <v>69.0</v>
      </c>
      <c r="I3" s="8">
        <f t="shared" si="1"/>
        <v>690</v>
      </c>
      <c r="J3" s="8">
        <f>ROUND(I3*0.587,2)</f>
        <v>405.03</v>
      </c>
      <c r="K3" s="8">
        <f t="shared" si="2"/>
        <v>284.97</v>
      </c>
      <c r="L3" s="5">
        <f t="shared" si="3"/>
        <v>1</v>
      </c>
      <c r="M3" s="5" t="str">
        <f t="shared" si="4"/>
        <v>Jan</v>
      </c>
    </row>
    <row r="4">
      <c r="A4" s="5" t="s">
        <v>33</v>
      </c>
      <c r="B4" s="6">
        <v>45665.0</v>
      </c>
      <c r="C4" s="5" t="s">
        <v>30</v>
      </c>
      <c r="D4" s="5" t="s">
        <v>20</v>
      </c>
      <c r="E4" s="5" t="s">
        <v>23</v>
      </c>
      <c r="F4" s="5" t="s">
        <v>34</v>
      </c>
      <c r="G4" s="5">
        <v>31.0</v>
      </c>
      <c r="H4" s="8">
        <v>89.0</v>
      </c>
      <c r="I4" s="8">
        <f t="shared" si="1"/>
        <v>2759</v>
      </c>
      <c r="J4" s="8">
        <f>ROUND(I4*0.683,2)</f>
        <v>1884.4</v>
      </c>
      <c r="K4" s="8">
        <f t="shared" si="2"/>
        <v>874.6</v>
      </c>
      <c r="L4" s="5">
        <f t="shared" si="3"/>
        <v>1</v>
      </c>
      <c r="M4" s="5" t="str">
        <f t="shared" si="4"/>
        <v>Jan</v>
      </c>
    </row>
    <row r="5">
      <c r="A5" s="5" t="s">
        <v>35</v>
      </c>
      <c r="B5" s="6">
        <v>45667.0</v>
      </c>
      <c r="C5" s="5" t="s">
        <v>36</v>
      </c>
      <c r="D5" s="5" t="s">
        <v>18</v>
      </c>
      <c r="E5" s="5" t="s">
        <v>37</v>
      </c>
      <c r="F5" s="5" t="s">
        <v>38</v>
      </c>
      <c r="G5" s="5">
        <v>39.0</v>
      </c>
      <c r="H5" s="8">
        <v>129.0</v>
      </c>
      <c r="I5" s="8">
        <f t="shared" si="1"/>
        <v>5031</v>
      </c>
      <c r="J5" s="8">
        <f>ROUND(I5*0.64,2)</f>
        <v>3219.84</v>
      </c>
      <c r="K5" s="8">
        <f t="shared" si="2"/>
        <v>1811.16</v>
      </c>
      <c r="L5" s="5">
        <f t="shared" si="3"/>
        <v>1</v>
      </c>
      <c r="M5" s="5" t="str">
        <f t="shared" si="4"/>
        <v>Jan</v>
      </c>
    </row>
    <row r="6">
      <c r="A6" s="5" t="s">
        <v>39</v>
      </c>
      <c r="B6" s="6">
        <v>45668.0</v>
      </c>
      <c r="C6" s="5" t="s">
        <v>36</v>
      </c>
      <c r="D6" s="5" t="s">
        <v>16</v>
      </c>
      <c r="E6" s="5" t="s">
        <v>40</v>
      </c>
      <c r="F6" s="5" t="s">
        <v>41</v>
      </c>
      <c r="G6" s="5">
        <v>34.0</v>
      </c>
      <c r="H6" s="8">
        <v>289.0</v>
      </c>
      <c r="I6" s="8">
        <f t="shared" si="1"/>
        <v>9826</v>
      </c>
      <c r="J6" s="8">
        <f>ROUND(I6*0.661,2)</f>
        <v>6494.99</v>
      </c>
      <c r="K6" s="8">
        <f t="shared" si="2"/>
        <v>3331.01</v>
      </c>
      <c r="L6" s="5">
        <f t="shared" si="3"/>
        <v>1</v>
      </c>
      <c r="M6" s="5" t="str">
        <f t="shared" si="4"/>
        <v>Jan</v>
      </c>
    </row>
    <row r="7">
      <c r="A7" s="5" t="s">
        <v>42</v>
      </c>
      <c r="B7" s="6">
        <v>45671.0</v>
      </c>
      <c r="C7" s="5" t="s">
        <v>36</v>
      </c>
      <c r="D7" s="5" t="s">
        <v>20</v>
      </c>
      <c r="E7" s="5" t="s">
        <v>43</v>
      </c>
      <c r="F7" s="5" t="s">
        <v>44</v>
      </c>
      <c r="G7" s="5">
        <v>13.0</v>
      </c>
      <c r="H7" s="8">
        <v>159.0</v>
      </c>
      <c r="I7" s="8">
        <f t="shared" si="1"/>
        <v>2067</v>
      </c>
      <c r="J7" s="8">
        <f>ROUND(I7*0.563,2)</f>
        <v>1163.72</v>
      </c>
      <c r="K7" s="8">
        <f t="shared" si="2"/>
        <v>903.28</v>
      </c>
      <c r="L7" s="5">
        <f t="shared" si="3"/>
        <v>1</v>
      </c>
      <c r="M7" s="5" t="str">
        <f t="shared" si="4"/>
        <v>Jan</v>
      </c>
    </row>
    <row r="8">
      <c r="A8" s="5" t="s">
        <v>45</v>
      </c>
      <c r="B8" s="6">
        <v>45671.0</v>
      </c>
      <c r="C8" s="5" t="s">
        <v>46</v>
      </c>
      <c r="D8" s="5" t="s">
        <v>16</v>
      </c>
      <c r="E8" s="5" t="s">
        <v>47</v>
      </c>
      <c r="F8" s="5" t="s">
        <v>38</v>
      </c>
      <c r="G8" s="5">
        <v>24.0</v>
      </c>
      <c r="H8" s="8">
        <v>45.0</v>
      </c>
      <c r="I8" s="8">
        <f t="shared" si="1"/>
        <v>1080</v>
      </c>
      <c r="J8" s="8">
        <f>ROUND(I8*0.59,2)</f>
        <v>637.2</v>
      </c>
      <c r="K8" s="8">
        <f t="shared" si="2"/>
        <v>442.8</v>
      </c>
      <c r="L8" s="5">
        <f t="shared" si="3"/>
        <v>1</v>
      </c>
      <c r="M8" s="5" t="str">
        <f t="shared" si="4"/>
        <v>Jan</v>
      </c>
    </row>
    <row r="9">
      <c r="A9" s="5" t="s">
        <v>48</v>
      </c>
      <c r="B9" s="6">
        <v>45671.0</v>
      </c>
      <c r="C9" s="5" t="s">
        <v>36</v>
      </c>
      <c r="D9" s="5" t="s">
        <v>19</v>
      </c>
      <c r="E9" s="5" t="s">
        <v>49</v>
      </c>
      <c r="F9" s="5" t="s">
        <v>38</v>
      </c>
      <c r="G9" s="5">
        <v>9.0</v>
      </c>
      <c r="H9" s="8">
        <v>22.0</v>
      </c>
      <c r="I9" s="8">
        <f t="shared" si="1"/>
        <v>198</v>
      </c>
      <c r="J9" s="8">
        <f>ROUND(I9*0.654,2)</f>
        <v>129.49</v>
      </c>
      <c r="K9" s="8">
        <f t="shared" si="2"/>
        <v>68.51</v>
      </c>
      <c r="L9" s="5">
        <f t="shared" si="3"/>
        <v>1</v>
      </c>
      <c r="M9" s="5" t="str">
        <f t="shared" si="4"/>
        <v>Jan</v>
      </c>
    </row>
    <row r="10">
      <c r="A10" s="5" t="s">
        <v>50</v>
      </c>
      <c r="B10" s="6">
        <v>45672.0</v>
      </c>
      <c r="C10" s="5" t="s">
        <v>22</v>
      </c>
      <c r="D10" s="5" t="s">
        <v>19</v>
      </c>
      <c r="E10" s="5" t="s">
        <v>51</v>
      </c>
      <c r="F10" s="5" t="s">
        <v>38</v>
      </c>
      <c r="G10" s="5">
        <v>17.0</v>
      </c>
      <c r="H10" s="8">
        <v>74.0</v>
      </c>
      <c r="I10" s="8">
        <f t="shared" si="1"/>
        <v>1258</v>
      </c>
      <c r="J10" s="8">
        <f>ROUND(I10*0.557,2)</f>
        <v>700.71</v>
      </c>
      <c r="K10" s="8">
        <f t="shared" si="2"/>
        <v>557.29</v>
      </c>
      <c r="L10" s="5">
        <f t="shared" si="3"/>
        <v>1</v>
      </c>
      <c r="M10" s="5" t="str">
        <f t="shared" si="4"/>
        <v>Jan</v>
      </c>
    </row>
    <row r="11">
      <c r="A11" s="5" t="s">
        <v>52</v>
      </c>
      <c r="B11" s="6">
        <v>45672.0</v>
      </c>
      <c r="C11" s="5" t="s">
        <v>46</v>
      </c>
      <c r="D11" s="5" t="s">
        <v>19</v>
      </c>
      <c r="E11" s="5" t="s">
        <v>49</v>
      </c>
      <c r="F11" s="5" t="s">
        <v>44</v>
      </c>
      <c r="G11" s="5">
        <v>11.0</v>
      </c>
      <c r="H11" s="8">
        <v>22.0</v>
      </c>
      <c r="I11" s="8">
        <f t="shared" si="1"/>
        <v>242</v>
      </c>
      <c r="J11" s="8">
        <f>ROUND(I11*0.693,2)</f>
        <v>167.71</v>
      </c>
      <c r="K11" s="8">
        <f t="shared" si="2"/>
        <v>74.29</v>
      </c>
      <c r="L11" s="5">
        <f t="shared" si="3"/>
        <v>1</v>
      </c>
      <c r="M11" s="5" t="str">
        <f t="shared" si="4"/>
        <v>Jan</v>
      </c>
    </row>
    <row r="12">
      <c r="A12" s="5" t="s">
        <v>54</v>
      </c>
      <c r="B12" s="6">
        <v>45672.0</v>
      </c>
      <c r="C12" s="5" t="s">
        <v>22</v>
      </c>
      <c r="D12" s="5" t="s">
        <v>19</v>
      </c>
      <c r="E12" s="5" t="s">
        <v>56</v>
      </c>
      <c r="F12" s="5" t="s">
        <v>32</v>
      </c>
      <c r="G12" s="5">
        <v>23.0</v>
      </c>
      <c r="H12" s="8">
        <v>199.0</v>
      </c>
      <c r="I12" s="8">
        <f t="shared" si="1"/>
        <v>4577</v>
      </c>
      <c r="J12" s="8">
        <f>ROUND(I12*0.614,2)</f>
        <v>2810.28</v>
      </c>
      <c r="K12" s="8">
        <f t="shared" si="2"/>
        <v>1766.72</v>
      </c>
      <c r="L12" s="5">
        <f t="shared" si="3"/>
        <v>1</v>
      </c>
      <c r="M12" s="5" t="str">
        <f t="shared" si="4"/>
        <v>Jan</v>
      </c>
    </row>
    <row r="13">
      <c r="A13" s="5" t="s">
        <v>58</v>
      </c>
      <c r="B13" s="6">
        <v>45674.0</v>
      </c>
      <c r="C13" s="5" t="s">
        <v>36</v>
      </c>
      <c r="D13" s="5" t="s">
        <v>16</v>
      </c>
      <c r="E13" s="5" t="s">
        <v>40</v>
      </c>
      <c r="F13" s="5" t="s">
        <v>32</v>
      </c>
      <c r="G13" s="5">
        <v>32.0</v>
      </c>
      <c r="H13" s="8">
        <v>289.0</v>
      </c>
      <c r="I13" s="8">
        <f t="shared" si="1"/>
        <v>9248</v>
      </c>
      <c r="J13" s="8">
        <f>ROUND(I13*0.586,2)</f>
        <v>5419.33</v>
      </c>
      <c r="K13" s="8">
        <f t="shared" si="2"/>
        <v>3828.67</v>
      </c>
      <c r="L13" s="5">
        <f t="shared" si="3"/>
        <v>1</v>
      </c>
      <c r="M13" s="5" t="str">
        <f t="shared" si="4"/>
        <v>Jan</v>
      </c>
    </row>
    <row r="14">
      <c r="A14" s="5" t="s">
        <v>61</v>
      </c>
      <c r="B14" s="6">
        <v>45677.0</v>
      </c>
      <c r="C14" s="5" t="s">
        <v>46</v>
      </c>
      <c r="D14" s="5" t="s">
        <v>18</v>
      </c>
      <c r="E14" s="5" t="s">
        <v>37</v>
      </c>
      <c r="F14" s="5" t="s">
        <v>41</v>
      </c>
      <c r="G14" s="5">
        <v>23.0</v>
      </c>
      <c r="H14" s="8">
        <v>129.0</v>
      </c>
      <c r="I14" s="8">
        <f t="shared" si="1"/>
        <v>2967</v>
      </c>
      <c r="J14" s="8">
        <f>ROUND(I14*0.602,2)</f>
        <v>1786.13</v>
      </c>
      <c r="K14" s="8">
        <f t="shared" si="2"/>
        <v>1180.87</v>
      </c>
      <c r="L14" s="5">
        <f t="shared" si="3"/>
        <v>1</v>
      </c>
      <c r="M14" s="5" t="str">
        <f t="shared" si="4"/>
        <v>Jan</v>
      </c>
    </row>
    <row r="15">
      <c r="A15" s="5" t="s">
        <v>68</v>
      </c>
      <c r="B15" s="6">
        <v>45678.0</v>
      </c>
      <c r="C15" s="5" t="s">
        <v>22</v>
      </c>
      <c r="D15" s="5" t="s">
        <v>20</v>
      </c>
      <c r="E15" s="5" t="s">
        <v>31</v>
      </c>
      <c r="F15" s="5" t="s">
        <v>32</v>
      </c>
      <c r="G15" s="5">
        <v>14.0</v>
      </c>
      <c r="H15" s="8">
        <v>69.0</v>
      </c>
      <c r="I15" s="8">
        <f t="shared" si="1"/>
        <v>966</v>
      </c>
      <c r="J15" s="8">
        <f>ROUND(I15*0.664,2)</f>
        <v>641.42</v>
      </c>
      <c r="K15" s="8">
        <f t="shared" si="2"/>
        <v>324.58</v>
      </c>
      <c r="L15" s="5">
        <f t="shared" si="3"/>
        <v>1</v>
      </c>
      <c r="M15" s="5" t="str">
        <f t="shared" si="4"/>
        <v>Jan</v>
      </c>
    </row>
    <row r="16">
      <c r="A16" s="5" t="s">
        <v>85</v>
      </c>
      <c r="B16" s="6">
        <v>45679.0</v>
      </c>
      <c r="C16" s="5" t="s">
        <v>36</v>
      </c>
      <c r="D16" s="5" t="s">
        <v>19</v>
      </c>
      <c r="E16" s="5" t="s">
        <v>49</v>
      </c>
      <c r="F16" s="5" t="s">
        <v>38</v>
      </c>
      <c r="G16" s="5">
        <v>31.0</v>
      </c>
      <c r="H16" s="8">
        <v>22.0</v>
      </c>
      <c r="I16" s="8">
        <f t="shared" si="1"/>
        <v>682</v>
      </c>
      <c r="J16" s="8">
        <f>ROUND(I16*0.593,2)</f>
        <v>404.43</v>
      </c>
      <c r="K16" s="8">
        <f t="shared" si="2"/>
        <v>277.57</v>
      </c>
      <c r="L16" s="5">
        <f t="shared" si="3"/>
        <v>1</v>
      </c>
      <c r="M16" s="5" t="str">
        <f t="shared" si="4"/>
        <v>Jan</v>
      </c>
    </row>
    <row r="17">
      <c r="A17" s="5" t="s">
        <v>88</v>
      </c>
      <c r="B17" s="6">
        <v>45679.0</v>
      </c>
      <c r="C17" s="5" t="s">
        <v>36</v>
      </c>
      <c r="D17" s="5" t="s">
        <v>20</v>
      </c>
      <c r="E17" s="5" t="s">
        <v>31</v>
      </c>
      <c r="F17" s="5" t="s">
        <v>44</v>
      </c>
      <c r="G17" s="5">
        <v>4.0</v>
      </c>
      <c r="H17" s="8">
        <v>69.0</v>
      </c>
      <c r="I17" s="8">
        <f t="shared" si="1"/>
        <v>276</v>
      </c>
      <c r="J17" s="8">
        <f>ROUND(I17*0.563,2)</f>
        <v>155.39</v>
      </c>
      <c r="K17" s="8">
        <f t="shared" si="2"/>
        <v>120.61</v>
      </c>
      <c r="L17" s="5">
        <f t="shared" si="3"/>
        <v>1</v>
      </c>
      <c r="M17" s="5" t="str">
        <f t="shared" si="4"/>
        <v>Jan</v>
      </c>
    </row>
    <row r="18">
      <c r="A18" s="5" t="s">
        <v>90</v>
      </c>
      <c r="B18" s="6">
        <v>45681.0</v>
      </c>
      <c r="C18" s="5" t="s">
        <v>30</v>
      </c>
      <c r="D18" s="5" t="s">
        <v>19</v>
      </c>
      <c r="E18" s="5" t="s">
        <v>56</v>
      </c>
      <c r="F18" s="5" t="s">
        <v>24</v>
      </c>
      <c r="G18" s="5">
        <v>7.0</v>
      </c>
      <c r="H18" s="8">
        <v>199.0</v>
      </c>
      <c r="I18" s="8">
        <f t="shared" si="1"/>
        <v>1393</v>
      </c>
      <c r="J18" s="8">
        <f>ROUND(I18*0.615,2)</f>
        <v>856.7</v>
      </c>
      <c r="K18" s="8">
        <f t="shared" si="2"/>
        <v>536.3</v>
      </c>
      <c r="L18" s="5">
        <f t="shared" si="3"/>
        <v>1</v>
      </c>
      <c r="M18" s="5" t="str">
        <f t="shared" si="4"/>
        <v>Jan</v>
      </c>
    </row>
    <row r="19">
      <c r="A19" s="5" t="s">
        <v>92</v>
      </c>
      <c r="B19" s="6">
        <v>45683.0</v>
      </c>
      <c r="C19" s="5" t="s">
        <v>22</v>
      </c>
      <c r="D19" s="5" t="s">
        <v>19</v>
      </c>
      <c r="E19" s="5" t="s">
        <v>49</v>
      </c>
      <c r="F19" s="5" t="s">
        <v>44</v>
      </c>
      <c r="G19" s="5">
        <v>28.0</v>
      </c>
      <c r="H19" s="8">
        <v>22.0</v>
      </c>
      <c r="I19" s="8">
        <f t="shared" si="1"/>
        <v>616</v>
      </c>
      <c r="J19" s="8">
        <f>ROUND(I19*0.633,2)</f>
        <v>389.93</v>
      </c>
      <c r="K19" s="8">
        <f t="shared" si="2"/>
        <v>226.07</v>
      </c>
      <c r="L19" s="5">
        <f t="shared" si="3"/>
        <v>1</v>
      </c>
      <c r="M19" s="5" t="str">
        <f t="shared" si="4"/>
        <v>Jan</v>
      </c>
    </row>
    <row r="20">
      <c r="A20" s="5" t="s">
        <v>93</v>
      </c>
      <c r="B20" s="6">
        <v>45684.0</v>
      </c>
      <c r="C20" s="5" t="s">
        <v>36</v>
      </c>
      <c r="D20" s="5" t="s">
        <v>19</v>
      </c>
      <c r="E20" s="5" t="s">
        <v>94</v>
      </c>
      <c r="F20" s="5" t="s">
        <v>34</v>
      </c>
      <c r="G20" s="5">
        <v>37.0</v>
      </c>
      <c r="H20" s="8">
        <v>29.0</v>
      </c>
      <c r="I20" s="8">
        <f t="shared" si="1"/>
        <v>1073</v>
      </c>
      <c r="J20" s="8">
        <f>ROUND(I20*0.636,2)</f>
        <v>682.43</v>
      </c>
      <c r="K20" s="8">
        <f t="shared" si="2"/>
        <v>390.57</v>
      </c>
      <c r="L20" s="5">
        <f t="shared" si="3"/>
        <v>1</v>
      </c>
      <c r="M20" s="5" t="str">
        <f t="shared" si="4"/>
        <v>Jan</v>
      </c>
    </row>
    <row r="21" ht="15.75" customHeight="1">
      <c r="A21" s="5" t="s">
        <v>96</v>
      </c>
      <c r="B21" s="6">
        <v>45685.0</v>
      </c>
      <c r="C21" s="5" t="s">
        <v>22</v>
      </c>
      <c r="D21" s="5" t="s">
        <v>16</v>
      </c>
      <c r="E21" s="5" t="s">
        <v>47</v>
      </c>
      <c r="F21" s="5" t="s">
        <v>44</v>
      </c>
      <c r="G21" s="5">
        <v>22.0</v>
      </c>
      <c r="H21" s="8">
        <v>45.0</v>
      </c>
      <c r="I21" s="8">
        <f t="shared" si="1"/>
        <v>990</v>
      </c>
      <c r="J21" s="8">
        <f>ROUND(I21*0.686,2)</f>
        <v>679.14</v>
      </c>
      <c r="K21" s="8">
        <f t="shared" si="2"/>
        <v>310.86</v>
      </c>
      <c r="L21" s="5">
        <f t="shared" si="3"/>
        <v>1</v>
      </c>
      <c r="M21" s="5" t="str">
        <f t="shared" si="4"/>
        <v>Jan</v>
      </c>
    </row>
    <row r="22" ht="15.75" customHeight="1">
      <c r="A22" s="5" t="s">
        <v>97</v>
      </c>
      <c r="B22" s="6">
        <v>45686.0</v>
      </c>
      <c r="C22" s="5" t="s">
        <v>22</v>
      </c>
      <c r="D22" s="5" t="s">
        <v>18</v>
      </c>
      <c r="E22" s="5" t="s">
        <v>98</v>
      </c>
      <c r="F22" s="5" t="s">
        <v>24</v>
      </c>
      <c r="G22" s="5">
        <v>11.0</v>
      </c>
      <c r="H22" s="8">
        <v>54.0</v>
      </c>
      <c r="I22" s="8">
        <f t="shared" si="1"/>
        <v>594</v>
      </c>
      <c r="J22" s="8">
        <f>ROUND(I22*0.605,2)</f>
        <v>359.37</v>
      </c>
      <c r="K22" s="8">
        <f t="shared" si="2"/>
        <v>234.63</v>
      </c>
      <c r="L22" s="5">
        <f t="shared" si="3"/>
        <v>1</v>
      </c>
      <c r="M22" s="5" t="str">
        <f t="shared" si="4"/>
        <v>Jan</v>
      </c>
    </row>
    <row r="23" ht="15.75" customHeight="1">
      <c r="A23" s="5" t="s">
        <v>100</v>
      </c>
      <c r="B23" s="6">
        <v>45690.0</v>
      </c>
      <c r="C23" s="5" t="s">
        <v>46</v>
      </c>
      <c r="D23" s="5" t="s">
        <v>16</v>
      </c>
      <c r="E23" s="5" t="s">
        <v>101</v>
      </c>
      <c r="F23" s="5" t="s">
        <v>24</v>
      </c>
      <c r="G23" s="5">
        <v>3.0</v>
      </c>
      <c r="H23" s="8">
        <v>179.0</v>
      </c>
      <c r="I23" s="8">
        <f t="shared" si="1"/>
        <v>537</v>
      </c>
      <c r="J23" s="8">
        <f>ROUND(I23*0.684,2)</f>
        <v>367.31</v>
      </c>
      <c r="K23" s="8">
        <f t="shared" si="2"/>
        <v>169.69</v>
      </c>
      <c r="L23" s="5">
        <f t="shared" si="3"/>
        <v>2</v>
      </c>
      <c r="M23" s="5" t="str">
        <f t="shared" si="4"/>
        <v>Feb</v>
      </c>
    </row>
    <row r="24" ht="15.75" customHeight="1">
      <c r="A24" s="5" t="s">
        <v>103</v>
      </c>
      <c r="B24" s="6">
        <v>45693.0</v>
      </c>
      <c r="C24" s="5" t="s">
        <v>36</v>
      </c>
      <c r="D24" s="5" t="s">
        <v>19</v>
      </c>
      <c r="E24" s="5" t="s">
        <v>49</v>
      </c>
      <c r="F24" s="5" t="s">
        <v>44</v>
      </c>
      <c r="G24" s="5">
        <v>35.0</v>
      </c>
      <c r="H24" s="8">
        <v>22.0</v>
      </c>
      <c r="I24" s="8">
        <f t="shared" si="1"/>
        <v>770</v>
      </c>
      <c r="J24" s="8">
        <f>ROUND(I24*0.606,2)</f>
        <v>466.62</v>
      </c>
      <c r="K24" s="8">
        <f t="shared" si="2"/>
        <v>303.38</v>
      </c>
      <c r="L24" s="5">
        <f t="shared" si="3"/>
        <v>2</v>
      </c>
      <c r="M24" s="5" t="str">
        <f t="shared" si="4"/>
        <v>Feb</v>
      </c>
    </row>
    <row r="25" ht="15.75" customHeight="1">
      <c r="A25" s="5" t="s">
        <v>104</v>
      </c>
      <c r="B25" s="6">
        <v>45695.0</v>
      </c>
      <c r="C25" s="5" t="s">
        <v>22</v>
      </c>
      <c r="D25" s="5" t="s">
        <v>20</v>
      </c>
      <c r="E25" s="5" t="s">
        <v>105</v>
      </c>
      <c r="F25" s="5" t="s">
        <v>34</v>
      </c>
      <c r="G25" s="5">
        <v>35.0</v>
      </c>
      <c r="H25" s="8">
        <v>24.0</v>
      </c>
      <c r="I25" s="8">
        <f t="shared" si="1"/>
        <v>840</v>
      </c>
      <c r="J25" s="8">
        <f>ROUND(I25*0.586,2)</f>
        <v>492.24</v>
      </c>
      <c r="K25" s="8">
        <f t="shared" si="2"/>
        <v>347.76</v>
      </c>
      <c r="L25" s="5">
        <f t="shared" si="3"/>
        <v>2</v>
      </c>
      <c r="M25" s="5" t="str">
        <f t="shared" si="4"/>
        <v>Feb</v>
      </c>
    </row>
    <row r="26" ht="15.75" customHeight="1">
      <c r="A26" s="5" t="s">
        <v>107</v>
      </c>
      <c r="B26" s="6">
        <v>45697.0</v>
      </c>
      <c r="C26" s="5" t="s">
        <v>36</v>
      </c>
      <c r="D26" s="5" t="s">
        <v>20</v>
      </c>
      <c r="E26" s="5" t="s">
        <v>43</v>
      </c>
      <c r="F26" s="5" t="s">
        <v>44</v>
      </c>
      <c r="G26" s="5">
        <v>27.0</v>
      </c>
      <c r="H26" s="8">
        <v>159.0</v>
      </c>
      <c r="I26" s="8">
        <f t="shared" si="1"/>
        <v>4293</v>
      </c>
      <c r="J26" s="8">
        <f>ROUND(I26*0.599,2)</f>
        <v>2571.51</v>
      </c>
      <c r="K26" s="8">
        <f t="shared" si="2"/>
        <v>1721.49</v>
      </c>
      <c r="L26" s="5">
        <f t="shared" si="3"/>
        <v>2</v>
      </c>
      <c r="M26" s="5" t="str">
        <f t="shared" si="4"/>
        <v>Feb</v>
      </c>
    </row>
    <row r="27" ht="15.75" customHeight="1">
      <c r="A27" s="5" t="s">
        <v>109</v>
      </c>
      <c r="B27" s="6">
        <v>45698.0</v>
      </c>
      <c r="C27" s="5" t="s">
        <v>22</v>
      </c>
      <c r="D27" s="5" t="s">
        <v>20</v>
      </c>
      <c r="E27" s="5" t="s">
        <v>105</v>
      </c>
      <c r="F27" s="5" t="s">
        <v>38</v>
      </c>
      <c r="G27" s="5">
        <v>9.0</v>
      </c>
      <c r="H27" s="8">
        <v>24.0</v>
      </c>
      <c r="I27" s="8">
        <f t="shared" si="1"/>
        <v>216</v>
      </c>
      <c r="J27" s="8">
        <f>ROUND(I27*0.572,2)</f>
        <v>123.55</v>
      </c>
      <c r="K27" s="8">
        <f t="shared" si="2"/>
        <v>92.45</v>
      </c>
      <c r="L27" s="5">
        <f t="shared" si="3"/>
        <v>2</v>
      </c>
      <c r="M27" s="5" t="str">
        <f t="shared" si="4"/>
        <v>Feb</v>
      </c>
    </row>
    <row r="28" ht="15.75" customHeight="1">
      <c r="A28" s="5" t="s">
        <v>111</v>
      </c>
      <c r="B28" s="6">
        <v>45699.0</v>
      </c>
      <c r="C28" s="5" t="s">
        <v>36</v>
      </c>
      <c r="D28" s="5" t="s">
        <v>18</v>
      </c>
      <c r="E28" s="5" t="s">
        <v>112</v>
      </c>
      <c r="F28" s="5" t="s">
        <v>32</v>
      </c>
      <c r="G28" s="5">
        <v>7.0</v>
      </c>
      <c r="H28" s="8">
        <v>89.0</v>
      </c>
      <c r="I28" s="8">
        <f t="shared" si="1"/>
        <v>623</v>
      </c>
      <c r="J28" s="8">
        <f>ROUND(I28*0.693,2)</f>
        <v>431.74</v>
      </c>
      <c r="K28" s="8">
        <f t="shared" si="2"/>
        <v>191.26</v>
      </c>
      <c r="L28" s="5">
        <f t="shared" si="3"/>
        <v>2</v>
      </c>
      <c r="M28" s="5" t="str">
        <f t="shared" si="4"/>
        <v>Feb</v>
      </c>
    </row>
    <row r="29" ht="15.75" customHeight="1">
      <c r="A29" s="5" t="s">
        <v>113</v>
      </c>
      <c r="B29" s="6">
        <v>45701.0</v>
      </c>
      <c r="C29" s="5" t="s">
        <v>36</v>
      </c>
      <c r="D29" s="5" t="s">
        <v>20</v>
      </c>
      <c r="E29" s="5" t="s">
        <v>31</v>
      </c>
      <c r="F29" s="5" t="s">
        <v>24</v>
      </c>
      <c r="G29" s="5">
        <v>34.0</v>
      </c>
      <c r="H29" s="8">
        <v>69.0</v>
      </c>
      <c r="I29" s="8">
        <f t="shared" si="1"/>
        <v>2346</v>
      </c>
      <c r="J29" s="8">
        <f>ROUND(I29*0.566,2)</f>
        <v>1327.84</v>
      </c>
      <c r="K29" s="8">
        <f t="shared" si="2"/>
        <v>1018.16</v>
      </c>
      <c r="L29" s="5">
        <f t="shared" si="3"/>
        <v>2</v>
      </c>
      <c r="M29" s="5" t="str">
        <f t="shared" si="4"/>
        <v>Feb</v>
      </c>
    </row>
    <row r="30" ht="15.75" customHeight="1">
      <c r="A30" s="5" t="s">
        <v>115</v>
      </c>
      <c r="B30" s="6">
        <v>45702.0</v>
      </c>
      <c r="C30" s="5" t="s">
        <v>22</v>
      </c>
      <c r="D30" s="5" t="s">
        <v>19</v>
      </c>
      <c r="E30" s="5" t="s">
        <v>49</v>
      </c>
      <c r="F30" s="5" t="s">
        <v>44</v>
      </c>
      <c r="G30" s="5">
        <v>31.0</v>
      </c>
      <c r="H30" s="8">
        <v>22.0</v>
      </c>
      <c r="I30" s="8">
        <f t="shared" si="1"/>
        <v>682</v>
      </c>
      <c r="J30" s="8">
        <f>ROUND(I30*0.639,2)</f>
        <v>435.8</v>
      </c>
      <c r="K30" s="8">
        <f t="shared" si="2"/>
        <v>246.2</v>
      </c>
      <c r="L30" s="5">
        <f t="shared" si="3"/>
        <v>2</v>
      </c>
      <c r="M30" s="5" t="str">
        <f t="shared" si="4"/>
        <v>Feb</v>
      </c>
    </row>
    <row r="31" ht="15.75" customHeight="1">
      <c r="A31" s="5" t="s">
        <v>116</v>
      </c>
      <c r="B31" s="6">
        <v>45704.0</v>
      </c>
      <c r="C31" s="5" t="s">
        <v>46</v>
      </c>
      <c r="D31" s="5" t="s">
        <v>16</v>
      </c>
      <c r="E31" s="5" t="s">
        <v>117</v>
      </c>
      <c r="F31" s="5" t="s">
        <v>41</v>
      </c>
      <c r="G31" s="5">
        <v>11.0</v>
      </c>
      <c r="H31" s="8">
        <v>59.0</v>
      </c>
      <c r="I31" s="8">
        <f t="shared" si="1"/>
        <v>649</v>
      </c>
      <c r="J31" s="8">
        <f>ROUND(I31*0.668,2)</f>
        <v>433.53</v>
      </c>
      <c r="K31" s="8">
        <f t="shared" si="2"/>
        <v>215.47</v>
      </c>
      <c r="L31" s="5">
        <f t="shared" si="3"/>
        <v>2</v>
      </c>
      <c r="M31" s="5" t="str">
        <f t="shared" si="4"/>
        <v>Feb</v>
      </c>
    </row>
    <row r="32" ht="15.75" customHeight="1">
      <c r="A32" s="5" t="s">
        <v>121</v>
      </c>
      <c r="B32" s="6">
        <v>45704.0</v>
      </c>
      <c r="C32" s="5" t="s">
        <v>46</v>
      </c>
      <c r="D32" s="5" t="s">
        <v>20</v>
      </c>
      <c r="E32" s="5" t="s">
        <v>105</v>
      </c>
      <c r="F32" s="5" t="s">
        <v>41</v>
      </c>
      <c r="G32" s="5">
        <v>37.0</v>
      </c>
      <c r="H32" s="8">
        <v>24.0</v>
      </c>
      <c r="I32" s="8">
        <f t="shared" si="1"/>
        <v>888</v>
      </c>
      <c r="J32" s="8">
        <f>ROUND(I32*0.661,2)</f>
        <v>586.97</v>
      </c>
      <c r="K32" s="8">
        <f t="shared" si="2"/>
        <v>301.03</v>
      </c>
      <c r="L32" s="5">
        <f t="shared" si="3"/>
        <v>2</v>
      </c>
      <c r="M32" s="5" t="str">
        <f t="shared" si="4"/>
        <v>Feb</v>
      </c>
    </row>
    <row r="33" ht="15.75" customHeight="1">
      <c r="A33" s="5" t="s">
        <v>122</v>
      </c>
      <c r="B33" s="6">
        <v>45707.0</v>
      </c>
      <c r="C33" s="5" t="s">
        <v>36</v>
      </c>
      <c r="D33" s="5" t="s">
        <v>18</v>
      </c>
      <c r="E33" s="5" t="s">
        <v>112</v>
      </c>
      <c r="F33" s="5" t="s">
        <v>38</v>
      </c>
      <c r="G33" s="5">
        <v>36.0</v>
      </c>
      <c r="H33" s="8">
        <v>89.0</v>
      </c>
      <c r="I33" s="8">
        <f t="shared" si="1"/>
        <v>3204</v>
      </c>
      <c r="J33" s="8">
        <f>ROUND(I33*0.645,2)</f>
        <v>2066.58</v>
      </c>
      <c r="K33" s="8">
        <f t="shared" si="2"/>
        <v>1137.42</v>
      </c>
      <c r="L33" s="5">
        <f t="shared" si="3"/>
        <v>2</v>
      </c>
      <c r="M33" s="5" t="str">
        <f t="shared" si="4"/>
        <v>Feb</v>
      </c>
    </row>
    <row r="34" ht="15.75" customHeight="1">
      <c r="A34" s="5" t="s">
        <v>123</v>
      </c>
      <c r="B34" s="6">
        <v>45708.0</v>
      </c>
      <c r="C34" s="5" t="s">
        <v>30</v>
      </c>
      <c r="D34" s="5" t="s">
        <v>18</v>
      </c>
      <c r="E34" s="5" t="s">
        <v>98</v>
      </c>
      <c r="F34" s="5" t="s">
        <v>44</v>
      </c>
      <c r="G34" s="5">
        <v>6.0</v>
      </c>
      <c r="H34" s="8">
        <v>54.0</v>
      </c>
      <c r="I34" s="8">
        <f t="shared" si="1"/>
        <v>324</v>
      </c>
      <c r="J34" s="8">
        <f>ROUND(I34*0.577,2)</f>
        <v>186.95</v>
      </c>
      <c r="K34" s="8">
        <f t="shared" si="2"/>
        <v>137.05</v>
      </c>
      <c r="L34" s="5">
        <f t="shared" si="3"/>
        <v>2</v>
      </c>
      <c r="M34" s="5" t="str">
        <f t="shared" si="4"/>
        <v>Feb</v>
      </c>
    </row>
    <row r="35" ht="15.75" customHeight="1">
      <c r="A35" s="5" t="s">
        <v>124</v>
      </c>
      <c r="B35" s="6">
        <v>45710.0</v>
      </c>
      <c r="C35" s="5" t="s">
        <v>22</v>
      </c>
      <c r="D35" s="5" t="s">
        <v>20</v>
      </c>
      <c r="E35" s="5" t="s">
        <v>105</v>
      </c>
      <c r="F35" s="5" t="s">
        <v>34</v>
      </c>
      <c r="G35" s="5">
        <v>6.0</v>
      </c>
      <c r="H35" s="8">
        <v>24.0</v>
      </c>
      <c r="I35" s="8">
        <f t="shared" si="1"/>
        <v>144</v>
      </c>
      <c r="J35" s="8">
        <f>ROUND(I35*0.587,2)</f>
        <v>84.53</v>
      </c>
      <c r="K35" s="8">
        <f t="shared" si="2"/>
        <v>59.47</v>
      </c>
      <c r="L35" s="5">
        <f t="shared" si="3"/>
        <v>2</v>
      </c>
      <c r="M35" s="5" t="str">
        <f t="shared" si="4"/>
        <v>Feb</v>
      </c>
    </row>
    <row r="36" ht="15.75" customHeight="1">
      <c r="A36" s="5" t="s">
        <v>125</v>
      </c>
      <c r="B36" s="6">
        <v>45713.0</v>
      </c>
      <c r="C36" s="5" t="s">
        <v>30</v>
      </c>
      <c r="D36" s="5" t="s">
        <v>18</v>
      </c>
      <c r="E36" s="5" t="s">
        <v>37</v>
      </c>
      <c r="F36" s="5" t="s">
        <v>38</v>
      </c>
      <c r="G36" s="5">
        <v>29.0</v>
      </c>
      <c r="H36" s="8">
        <v>129.0</v>
      </c>
      <c r="I36" s="8">
        <f t="shared" si="1"/>
        <v>3741</v>
      </c>
      <c r="J36" s="8">
        <f>ROUND(I36*0.574,2)</f>
        <v>2147.33</v>
      </c>
      <c r="K36" s="8">
        <f t="shared" si="2"/>
        <v>1593.67</v>
      </c>
      <c r="L36" s="5">
        <f t="shared" si="3"/>
        <v>2</v>
      </c>
      <c r="M36" s="5" t="str">
        <f t="shared" si="4"/>
        <v>Feb</v>
      </c>
    </row>
    <row r="37" ht="15.75" customHeight="1">
      <c r="A37" s="5" t="s">
        <v>126</v>
      </c>
      <c r="B37" s="6">
        <v>45713.0</v>
      </c>
      <c r="C37" s="5" t="s">
        <v>46</v>
      </c>
      <c r="D37" s="5" t="s">
        <v>18</v>
      </c>
      <c r="E37" s="5" t="s">
        <v>112</v>
      </c>
      <c r="F37" s="5" t="s">
        <v>44</v>
      </c>
      <c r="G37" s="5">
        <v>34.0</v>
      </c>
      <c r="H37" s="8">
        <v>89.0</v>
      </c>
      <c r="I37" s="8">
        <f t="shared" si="1"/>
        <v>3026</v>
      </c>
      <c r="J37" s="8">
        <f>ROUND(I37*0.601,2)</f>
        <v>1818.63</v>
      </c>
      <c r="K37" s="8">
        <f t="shared" si="2"/>
        <v>1207.37</v>
      </c>
      <c r="L37" s="5">
        <f t="shared" si="3"/>
        <v>2</v>
      </c>
      <c r="M37" s="5" t="str">
        <f t="shared" si="4"/>
        <v>Feb</v>
      </c>
    </row>
    <row r="38" ht="15.75" customHeight="1">
      <c r="A38" s="5" t="s">
        <v>127</v>
      </c>
      <c r="B38" s="6">
        <v>45714.0</v>
      </c>
      <c r="C38" s="5" t="s">
        <v>36</v>
      </c>
      <c r="D38" s="5" t="s">
        <v>20</v>
      </c>
      <c r="E38" s="5" t="s">
        <v>31</v>
      </c>
      <c r="F38" s="5" t="s">
        <v>34</v>
      </c>
      <c r="G38" s="5">
        <v>15.0</v>
      </c>
      <c r="H38" s="8">
        <v>69.0</v>
      </c>
      <c r="I38" s="8">
        <f t="shared" si="1"/>
        <v>1035</v>
      </c>
      <c r="J38" s="8">
        <f>ROUND(I38*0.617,2)</f>
        <v>638.6</v>
      </c>
      <c r="K38" s="8">
        <f t="shared" si="2"/>
        <v>396.4</v>
      </c>
      <c r="L38" s="5">
        <f t="shared" si="3"/>
        <v>2</v>
      </c>
      <c r="M38" s="5" t="str">
        <f t="shared" si="4"/>
        <v>Feb</v>
      </c>
    </row>
    <row r="39" ht="15.75" customHeight="1">
      <c r="A39" s="5" t="s">
        <v>128</v>
      </c>
      <c r="B39" s="6">
        <v>45714.0</v>
      </c>
      <c r="C39" s="5" t="s">
        <v>36</v>
      </c>
      <c r="D39" s="5" t="s">
        <v>18</v>
      </c>
      <c r="E39" s="5" t="s">
        <v>98</v>
      </c>
      <c r="F39" s="5" t="s">
        <v>34</v>
      </c>
      <c r="G39" s="5">
        <v>4.0</v>
      </c>
      <c r="H39" s="8">
        <v>54.0</v>
      </c>
      <c r="I39" s="8">
        <f t="shared" si="1"/>
        <v>216</v>
      </c>
      <c r="J39" s="8">
        <f>ROUND(I39*0.591,2)</f>
        <v>127.66</v>
      </c>
      <c r="K39" s="8">
        <f t="shared" si="2"/>
        <v>88.34</v>
      </c>
      <c r="L39" s="5">
        <f t="shared" si="3"/>
        <v>2</v>
      </c>
      <c r="M39" s="5" t="str">
        <f t="shared" si="4"/>
        <v>Feb</v>
      </c>
    </row>
    <row r="40" ht="15.75" customHeight="1">
      <c r="A40" s="5" t="s">
        <v>129</v>
      </c>
      <c r="B40" s="6">
        <v>45715.0</v>
      </c>
      <c r="C40" s="5" t="s">
        <v>36</v>
      </c>
      <c r="D40" s="5" t="s">
        <v>19</v>
      </c>
      <c r="E40" s="5" t="s">
        <v>51</v>
      </c>
      <c r="F40" s="5" t="s">
        <v>34</v>
      </c>
      <c r="G40" s="5">
        <v>16.0</v>
      </c>
      <c r="H40" s="8">
        <v>74.0</v>
      </c>
      <c r="I40" s="8">
        <f t="shared" si="1"/>
        <v>1184</v>
      </c>
      <c r="J40" s="8">
        <f>ROUND(I40*0.699,2)</f>
        <v>827.62</v>
      </c>
      <c r="K40" s="8">
        <f t="shared" si="2"/>
        <v>356.38</v>
      </c>
      <c r="L40" s="5">
        <f t="shared" si="3"/>
        <v>2</v>
      </c>
      <c r="M40" s="5" t="str">
        <f t="shared" si="4"/>
        <v>Feb</v>
      </c>
    </row>
    <row r="41" ht="15.75" customHeight="1">
      <c r="A41" s="5" t="s">
        <v>130</v>
      </c>
      <c r="B41" s="6">
        <v>45715.0</v>
      </c>
      <c r="C41" s="5" t="s">
        <v>22</v>
      </c>
      <c r="D41" s="5" t="s">
        <v>18</v>
      </c>
      <c r="E41" s="5" t="s">
        <v>112</v>
      </c>
      <c r="F41" s="5" t="s">
        <v>32</v>
      </c>
      <c r="G41" s="5">
        <v>38.0</v>
      </c>
      <c r="H41" s="8">
        <v>89.0</v>
      </c>
      <c r="I41" s="8">
        <f t="shared" si="1"/>
        <v>3382</v>
      </c>
      <c r="J41" s="8">
        <f>ROUND(I41*0.644,2)</f>
        <v>2178.01</v>
      </c>
      <c r="K41" s="8">
        <f t="shared" si="2"/>
        <v>1203.99</v>
      </c>
      <c r="L41" s="5">
        <f t="shared" si="3"/>
        <v>2</v>
      </c>
      <c r="M41" s="5" t="str">
        <f t="shared" si="4"/>
        <v>Feb</v>
      </c>
    </row>
    <row r="42" ht="15.75" customHeight="1">
      <c r="A42" s="5" t="s">
        <v>131</v>
      </c>
      <c r="B42" s="6">
        <v>45716.0</v>
      </c>
      <c r="C42" s="5" t="s">
        <v>46</v>
      </c>
      <c r="D42" s="5" t="s">
        <v>16</v>
      </c>
      <c r="E42" s="5" t="s">
        <v>40</v>
      </c>
      <c r="F42" s="5" t="s">
        <v>41</v>
      </c>
      <c r="G42" s="5">
        <v>19.0</v>
      </c>
      <c r="H42" s="8">
        <v>289.0</v>
      </c>
      <c r="I42" s="8">
        <f t="shared" si="1"/>
        <v>5491</v>
      </c>
      <c r="J42" s="8">
        <f>ROUND(I42*0.637,2)</f>
        <v>3497.77</v>
      </c>
      <c r="K42" s="8">
        <f t="shared" si="2"/>
        <v>1993.23</v>
      </c>
      <c r="L42" s="5">
        <f t="shared" si="3"/>
        <v>2</v>
      </c>
      <c r="M42" s="5" t="str">
        <f t="shared" si="4"/>
        <v>Feb</v>
      </c>
    </row>
    <row r="43" ht="15.75" customHeight="1">
      <c r="A43" s="5" t="s">
        <v>132</v>
      </c>
      <c r="B43" s="6">
        <v>45717.0</v>
      </c>
      <c r="C43" s="5" t="s">
        <v>46</v>
      </c>
      <c r="D43" s="5" t="s">
        <v>18</v>
      </c>
      <c r="E43" s="5" t="s">
        <v>98</v>
      </c>
      <c r="F43" s="5" t="s">
        <v>34</v>
      </c>
      <c r="G43" s="5">
        <v>28.0</v>
      </c>
      <c r="H43" s="8">
        <v>54.0</v>
      </c>
      <c r="I43" s="8">
        <f t="shared" si="1"/>
        <v>1512</v>
      </c>
      <c r="J43" s="8">
        <f>ROUND(I43*0.55,2)</f>
        <v>831.6</v>
      </c>
      <c r="K43" s="8">
        <f t="shared" si="2"/>
        <v>680.4</v>
      </c>
      <c r="L43" s="5">
        <f t="shared" si="3"/>
        <v>3</v>
      </c>
      <c r="M43" s="5" t="str">
        <f t="shared" si="4"/>
        <v>Mar</v>
      </c>
    </row>
    <row r="44" ht="15.75" customHeight="1">
      <c r="A44" s="5" t="s">
        <v>133</v>
      </c>
      <c r="B44" s="6">
        <v>45717.0</v>
      </c>
      <c r="C44" s="5" t="s">
        <v>46</v>
      </c>
      <c r="D44" s="5" t="s">
        <v>16</v>
      </c>
      <c r="E44" s="5" t="s">
        <v>47</v>
      </c>
      <c r="F44" s="5" t="s">
        <v>41</v>
      </c>
      <c r="G44" s="5">
        <v>4.0</v>
      </c>
      <c r="H44" s="8">
        <v>45.0</v>
      </c>
      <c r="I44" s="8">
        <f t="shared" si="1"/>
        <v>180</v>
      </c>
      <c r="J44" s="8">
        <f>ROUND(I44*0.582,2)</f>
        <v>104.76</v>
      </c>
      <c r="K44" s="8">
        <f t="shared" si="2"/>
        <v>75.24</v>
      </c>
      <c r="L44" s="5">
        <f t="shared" si="3"/>
        <v>3</v>
      </c>
      <c r="M44" s="5" t="str">
        <f t="shared" si="4"/>
        <v>Mar</v>
      </c>
    </row>
    <row r="45" ht="15.75" customHeight="1">
      <c r="A45" s="5" t="s">
        <v>134</v>
      </c>
      <c r="B45" s="6">
        <v>45719.0</v>
      </c>
      <c r="C45" s="5" t="s">
        <v>30</v>
      </c>
      <c r="D45" s="5" t="s">
        <v>19</v>
      </c>
      <c r="E45" s="5" t="s">
        <v>56</v>
      </c>
      <c r="F45" s="5" t="s">
        <v>44</v>
      </c>
      <c r="G45" s="5">
        <v>35.0</v>
      </c>
      <c r="H45" s="8">
        <v>199.0</v>
      </c>
      <c r="I45" s="8">
        <f t="shared" si="1"/>
        <v>6965</v>
      </c>
      <c r="J45" s="8">
        <f>ROUND(I45*0.712,2)</f>
        <v>4959.08</v>
      </c>
      <c r="K45" s="8">
        <f t="shared" si="2"/>
        <v>2005.92</v>
      </c>
      <c r="L45" s="5">
        <f t="shared" si="3"/>
        <v>3</v>
      </c>
      <c r="M45" s="5" t="str">
        <f t="shared" si="4"/>
        <v>Mar</v>
      </c>
    </row>
    <row r="46" ht="15.75" customHeight="1">
      <c r="A46" s="5" t="s">
        <v>135</v>
      </c>
      <c r="B46" s="6">
        <v>45721.0</v>
      </c>
      <c r="C46" s="5" t="s">
        <v>46</v>
      </c>
      <c r="D46" s="5" t="s">
        <v>19</v>
      </c>
      <c r="E46" s="5" t="s">
        <v>94</v>
      </c>
      <c r="F46" s="5" t="s">
        <v>38</v>
      </c>
      <c r="G46" s="5">
        <v>25.0</v>
      </c>
      <c r="H46" s="8">
        <v>29.0</v>
      </c>
      <c r="I46" s="8">
        <f t="shared" si="1"/>
        <v>725</v>
      </c>
      <c r="J46" s="8">
        <f>ROUND(I46*0.69,2)</f>
        <v>500.25</v>
      </c>
      <c r="K46" s="8">
        <f t="shared" si="2"/>
        <v>224.75</v>
      </c>
      <c r="L46" s="5">
        <f t="shared" si="3"/>
        <v>3</v>
      </c>
      <c r="M46" s="5" t="str">
        <f t="shared" si="4"/>
        <v>Mar</v>
      </c>
    </row>
    <row r="47" ht="15.75" customHeight="1">
      <c r="A47" s="5" t="s">
        <v>136</v>
      </c>
      <c r="B47" s="6">
        <v>45722.0</v>
      </c>
      <c r="C47" s="5" t="s">
        <v>30</v>
      </c>
      <c r="D47" s="5" t="s">
        <v>16</v>
      </c>
      <c r="E47" s="5" t="s">
        <v>40</v>
      </c>
      <c r="F47" s="5" t="s">
        <v>38</v>
      </c>
      <c r="G47" s="5">
        <v>14.0</v>
      </c>
      <c r="H47" s="8">
        <v>289.0</v>
      </c>
      <c r="I47" s="8">
        <f t="shared" si="1"/>
        <v>4046</v>
      </c>
      <c r="J47" s="8">
        <f>ROUND(I47*0.688,2)</f>
        <v>2783.65</v>
      </c>
      <c r="K47" s="8">
        <f t="shared" si="2"/>
        <v>1262.35</v>
      </c>
      <c r="L47" s="5">
        <f t="shared" si="3"/>
        <v>3</v>
      </c>
      <c r="M47" s="5" t="str">
        <f t="shared" si="4"/>
        <v>Mar</v>
      </c>
    </row>
    <row r="48" ht="15.75" customHeight="1">
      <c r="A48" s="5" t="s">
        <v>137</v>
      </c>
      <c r="B48" s="6">
        <v>45722.0</v>
      </c>
      <c r="C48" s="5" t="s">
        <v>36</v>
      </c>
      <c r="D48" s="5" t="s">
        <v>19</v>
      </c>
      <c r="E48" s="5" t="s">
        <v>49</v>
      </c>
      <c r="F48" s="5" t="s">
        <v>38</v>
      </c>
      <c r="G48" s="5">
        <v>34.0</v>
      </c>
      <c r="H48" s="8">
        <v>22.0</v>
      </c>
      <c r="I48" s="8">
        <f t="shared" si="1"/>
        <v>748</v>
      </c>
      <c r="J48" s="8">
        <f>ROUND(I48*0.6,2)</f>
        <v>448.8</v>
      </c>
      <c r="K48" s="8">
        <f t="shared" si="2"/>
        <v>299.2</v>
      </c>
      <c r="L48" s="5">
        <f t="shared" si="3"/>
        <v>3</v>
      </c>
      <c r="M48" s="5" t="str">
        <f t="shared" si="4"/>
        <v>Mar</v>
      </c>
    </row>
    <row r="49" ht="15.75" customHeight="1">
      <c r="A49" s="5" t="s">
        <v>138</v>
      </c>
      <c r="B49" s="6">
        <v>45723.0</v>
      </c>
      <c r="C49" s="5" t="s">
        <v>22</v>
      </c>
      <c r="D49" s="5" t="s">
        <v>20</v>
      </c>
      <c r="E49" s="5" t="s">
        <v>105</v>
      </c>
      <c r="F49" s="5" t="s">
        <v>34</v>
      </c>
      <c r="G49" s="5">
        <v>28.0</v>
      </c>
      <c r="H49" s="8">
        <v>24.0</v>
      </c>
      <c r="I49" s="8">
        <f t="shared" si="1"/>
        <v>672</v>
      </c>
      <c r="J49" s="8">
        <f>ROUND(I49*0.573,2)</f>
        <v>385.06</v>
      </c>
      <c r="K49" s="8">
        <f t="shared" si="2"/>
        <v>286.94</v>
      </c>
      <c r="L49" s="5">
        <f t="shared" si="3"/>
        <v>3</v>
      </c>
      <c r="M49" s="5" t="str">
        <f t="shared" si="4"/>
        <v>Mar</v>
      </c>
    </row>
    <row r="50" ht="15.75" customHeight="1">
      <c r="A50" s="5" t="s">
        <v>139</v>
      </c>
      <c r="B50" s="6">
        <v>45724.0</v>
      </c>
      <c r="C50" s="5" t="s">
        <v>36</v>
      </c>
      <c r="D50" s="5" t="s">
        <v>18</v>
      </c>
      <c r="E50" s="5" t="s">
        <v>140</v>
      </c>
      <c r="F50" s="5" t="s">
        <v>38</v>
      </c>
      <c r="G50" s="5">
        <v>28.0</v>
      </c>
      <c r="H50" s="8">
        <v>19.0</v>
      </c>
      <c r="I50" s="8">
        <f t="shared" si="1"/>
        <v>532</v>
      </c>
      <c r="J50" s="8">
        <f>ROUND(I50*0.645,2)</f>
        <v>343.14</v>
      </c>
      <c r="K50" s="8">
        <f t="shared" si="2"/>
        <v>188.86</v>
      </c>
      <c r="L50" s="5">
        <f t="shared" si="3"/>
        <v>3</v>
      </c>
      <c r="M50" s="5" t="str">
        <f t="shared" si="4"/>
        <v>Mar</v>
      </c>
    </row>
    <row r="51" ht="15.75" customHeight="1">
      <c r="A51" s="5" t="s">
        <v>141</v>
      </c>
      <c r="B51" s="6">
        <v>45725.0</v>
      </c>
      <c r="C51" s="5" t="s">
        <v>46</v>
      </c>
      <c r="D51" s="5" t="s">
        <v>18</v>
      </c>
      <c r="E51" s="5" t="s">
        <v>140</v>
      </c>
      <c r="F51" s="5" t="s">
        <v>41</v>
      </c>
      <c r="G51" s="5">
        <v>13.0</v>
      </c>
      <c r="H51" s="8">
        <v>19.0</v>
      </c>
      <c r="I51" s="8">
        <f t="shared" si="1"/>
        <v>247</v>
      </c>
      <c r="J51" s="8">
        <f>ROUND(I51*0.566,2)</f>
        <v>139.8</v>
      </c>
      <c r="K51" s="8">
        <f t="shared" si="2"/>
        <v>107.2</v>
      </c>
      <c r="L51" s="5">
        <f t="shared" si="3"/>
        <v>3</v>
      </c>
      <c r="M51" s="5" t="str">
        <f t="shared" si="4"/>
        <v>Mar</v>
      </c>
    </row>
    <row r="52" ht="15.75" customHeight="1">
      <c r="A52" s="5" t="s">
        <v>142</v>
      </c>
      <c r="B52" s="6">
        <v>45725.0</v>
      </c>
      <c r="C52" s="5" t="s">
        <v>22</v>
      </c>
      <c r="D52" s="5" t="s">
        <v>19</v>
      </c>
      <c r="E52" s="5" t="s">
        <v>94</v>
      </c>
      <c r="F52" s="5" t="s">
        <v>44</v>
      </c>
      <c r="G52" s="5">
        <v>27.0</v>
      </c>
      <c r="H52" s="8">
        <v>29.0</v>
      </c>
      <c r="I52" s="8">
        <f t="shared" si="1"/>
        <v>783</v>
      </c>
      <c r="J52" s="8">
        <f>ROUND(I52*0.58,2)</f>
        <v>454.14</v>
      </c>
      <c r="K52" s="8">
        <f t="shared" si="2"/>
        <v>328.86</v>
      </c>
      <c r="L52" s="5">
        <f t="shared" si="3"/>
        <v>3</v>
      </c>
      <c r="M52" s="5" t="str">
        <f t="shared" si="4"/>
        <v>Mar</v>
      </c>
    </row>
    <row r="53" ht="15.75" customHeight="1">
      <c r="A53" s="5" t="s">
        <v>143</v>
      </c>
      <c r="B53" s="6">
        <v>45725.0</v>
      </c>
      <c r="C53" s="5" t="s">
        <v>36</v>
      </c>
      <c r="D53" s="5" t="s">
        <v>19</v>
      </c>
      <c r="E53" s="5" t="s">
        <v>51</v>
      </c>
      <c r="F53" s="5" t="s">
        <v>32</v>
      </c>
      <c r="G53" s="5">
        <v>31.0</v>
      </c>
      <c r="H53" s="8">
        <v>74.0</v>
      </c>
      <c r="I53" s="8">
        <f t="shared" si="1"/>
        <v>2294</v>
      </c>
      <c r="J53" s="8">
        <f>ROUND(I53*0.714,2)</f>
        <v>1637.92</v>
      </c>
      <c r="K53" s="8">
        <f t="shared" si="2"/>
        <v>656.08</v>
      </c>
      <c r="L53" s="5">
        <f t="shared" si="3"/>
        <v>3</v>
      </c>
      <c r="M53" s="5" t="str">
        <f t="shared" si="4"/>
        <v>Mar</v>
      </c>
    </row>
    <row r="54" ht="15.75" customHeight="1">
      <c r="A54" s="5" t="s">
        <v>144</v>
      </c>
      <c r="B54" s="6">
        <v>45726.0</v>
      </c>
      <c r="C54" s="5" t="s">
        <v>36</v>
      </c>
      <c r="D54" s="5" t="s">
        <v>16</v>
      </c>
      <c r="E54" s="5" t="s">
        <v>117</v>
      </c>
      <c r="F54" s="5" t="s">
        <v>44</v>
      </c>
      <c r="G54" s="5">
        <v>36.0</v>
      </c>
      <c r="H54" s="8">
        <v>59.0</v>
      </c>
      <c r="I54" s="8">
        <f t="shared" si="1"/>
        <v>2124</v>
      </c>
      <c r="J54" s="8">
        <f>ROUND(I54*0.576,2)</f>
        <v>1223.42</v>
      </c>
      <c r="K54" s="8">
        <f t="shared" si="2"/>
        <v>900.58</v>
      </c>
      <c r="L54" s="5">
        <f t="shared" si="3"/>
        <v>3</v>
      </c>
      <c r="M54" s="5" t="str">
        <f t="shared" si="4"/>
        <v>Mar</v>
      </c>
    </row>
    <row r="55" ht="15.75" customHeight="1">
      <c r="A55" s="5" t="s">
        <v>145</v>
      </c>
      <c r="B55" s="6">
        <v>45728.0</v>
      </c>
      <c r="C55" s="5" t="s">
        <v>46</v>
      </c>
      <c r="D55" s="5" t="s">
        <v>16</v>
      </c>
      <c r="E55" s="5" t="s">
        <v>117</v>
      </c>
      <c r="F55" s="5" t="s">
        <v>34</v>
      </c>
      <c r="G55" s="5">
        <v>10.0</v>
      </c>
      <c r="H55" s="8">
        <v>59.0</v>
      </c>
      <c r="I55" s="8">
        <f t="shared" si="1"/>
        <v>590</v>
      </c>
      <c r="J55" s="8">
        <f>ROUND(I55*0.657,2)</f>
        <v>387.63</v>
      </c>
      <c r="K55" s="8">
        <f t="shared" si="2"/>
        <v>202.37</v>
      </c>
      <c r="L55" s="5">
        <f t="shared" si="3"/>
        <v>3</v>
      </c>
      <c r="M55" s="5" t="str">
        <f t="shared" si="4"/>
        <v>Mar</v>
      </c>
    </row>
    <row r="56" ht="15.75" customHeight="1">
      <c r="A56" s="5" t="s">
        <v>146</v>
      </c>
      <c r="B56" s="6">
        <v>45728.0</v>
      </c>
      <c r="C56" s="5" t="s">
        <v>36</v>
      </c>
      <c r="D56" s="5" t="s">
        <v>16</v>
      </c>
      <c r="E56" s="5" t="s">
        <v>47</v>
      </c>
      <c r="F56" s="5" t="s">
        <v>32</v>
      </c>
      <c r="G56" s="5">
        <v>36.0</v>
      </c>
      <c r="H56" s="8">
        <v>45.0</v>
      </c>
      <c r="I56" s="8">
        <f t="shared" si="1"/>
        <v>1620</v>
      </c>
      <c r="J56" s="8">
        <f>ROUND(I56*0.709,2)</f>
        <v>1148.58</v>
      </c>
      <c r="K56" s="8">
        <f t="shared" si="2"/>
        <v>471.42</v>
      </c>
      <c r="L56" s="5">
        <f t="shared" si="3"/>
        <v>3</v>
      </c>
      <c r="M56" s="5" t="str">
        <f t="shared" si="4"/>
        <v>Mar</v>
      </c>
    </row>
    <row r="57" ht="15.75" customHeight="1">
      <c r="A57" s="5" t="s">
        <v>147</v>
      </c>
      <c r="B57" s="6">
        <v>45730.0</v>
      </c>
      <c r="C57" s="5" t="s">
        <v>22</v>
      </c>
      <c r="D57" s="5" t="s">
        <v>16</v>
      </c>
      <c r="E57" s="5" t="s">
        <v>40</v>
      </c>
      <c r="F57" s="5" t="s">
        <v>32</v>
      </c>
      <c r="G57" s="5">
        <v>39.0</v>
      </c>
      <c r="H57" s="8">
        <v>289.0</v>
      </c>
      <c r="I57" s="8">
        <f t="shared" si="1"/>
        <v>11271</v>
      </c>
      <c r="J57" s="8">
        <f>ROUND(I57*0.677,2)</f>
        <v>7630.47</v>
      </c>
      <c r="K57" s="8">
        <f t="shared" si="2"/>
        <v>3640.53</v>
      </c>
      <c r="L57" s="5">
        <f t="shared" si="3"/>
        <v>3</v>
      </c>
      <c r="M57" s="5" t="str">
        <f t="shared" si="4"/>
        <v>Mar</v>
      </c>
    </row>
    <row r="58" ht="15.75" customHeight="1">
      <c r="A58" s="5" t="s">
        <v>150</v>
      </c>
      <c r="B58" s="6">
        <v>45730.0</v>
      </c>
      <c r="C58" s="5" t="s">
        <v>36</v>
      </c>
      <c r="D58" s="5" t="s">
        <v>19</v>
      </c>
      <c r="E58" s="5" t="s">
        <v>49</v>
      </c>
      <c r="F58" s="5" t="s">
        <v>24</v>
      </c>
      <c r="G58" s="5">
        <v>39.0</v>
      </c>
      <c r="H58" s="8">
        <v>22.0</v>
      </c>
      <c r="I58" s="8">
        <f t="shared" si="1"/>
        <v>858</v>
      </c>
      <c r="J58" s="8">
        <f>ROUND(I58*0.671,2)</f>
        <v>575.72</v>
      </c>
      <c r="K58" s="8">
        <f t="shared" si="2"/>
        <v>282.28</v>
      </c>
      <c r="L58" s="5">
        <f t="shared" si="3"/>
        <v>3</v>
      </c>
      <c r="M58" s="5" t="str">
        <f t="shared" si="4"/>
        <v>Mar</v>
      </c>
    </row>
    <row r="59" ht="15.75" customHeight="1">
      <c r="A59" s="5" t="s">
        <v>153</v>
      </c>
      <c r="B59" s="6">
        <v>45732.0</v>
      </c>
      <c r="C59" s="5" t="s">
        <v>30</v>
      </c>
      <c r="D59" s="5" t="s">
        <v>20</v>
      </c>
      <c r="E59" s="5" t="s">
        <v>23</v>
      </c>
      <c r="F59" s="5" t="s">
        <v>24</v>
      </c>
      <c r="G59" s="5">
        <v>12.0</v>
      </c>
      <c r="H59" s="8">
        <v>89.0</v>
      </c>
      <c r="I59" s="8">
        <f t="shared" si="1"/>
        <v>1068</v>
      </c>
      <c r="J59" s="8">
        <f>ROUND(I59*0.563,2)</f>
        <v>601.28</v>
      </c>
      <c r="K59" s="8">
        <f t="shared" si="2"/>
        <v>466.72</v>
      </c>
      <c r="L59" s="5">
        <f t="shared" si="3"/>
        <v>3</v>
      </c>
      <c r="M59" s="5" t="str">
        <f t="shared" si="4"/>
        <v>Mar</v>
      </c>
    </row>
    <row r="60" ht="15.75" customHeight="1">
      <c r="A60" s="5" t="s">
        <v>155</v>
      </c>
      <c r="B60" s="6">
        <v>45736.0</v>
      </c>
      <c r="C60" s="5" t="s">
        <v>36</v>
      </c>
      <c r="D60" s="5" t="s">
        <v>18</v>
      </c>
      <c r="E60" s="5" t="s">
        <v>112</v>
      </c>
      <c r="F60" s="5" t="s">
        <v>38</v>
      </c>
      <c r="G60" s="5">
        <v>21.0</v>
      </c>
      <c r="H60" s="8">
        <v>89.0</v>
      </c>
      <c r="I60" s="8">
        <f t="shared" si="1"/>
        <v>1869</v>
      </c>
      <c r="J60" s="8">
        <f>ROUND(I60*0.633,2)</f>
        <v>1183.08</v>
      </c>
      <c r="K60" s="8">
        <f t="shared" si="2"/>
        <v>685.92</v>
      </c>
      <c r="L60" s="5">
        <f t="shared" si="3"/>
        <v>3</v>
      </c>
      <c r="M60" s="5" t="str">
        <f t="shared" si="4"/>
        <v>Mar</v>
      </c>
    </row>
    <row r="61" ht="15.75" customHeight="1">
      <c r="A61" s="5" t="s">
        <v>158</v>
      </c>
      <c r="B61" s="6">
        <v>45736.0</v>
      </c>
      <c r="C61" s="5" t="s">
        <v>30</v>
      </c>
      <c r="D61" s="5" t="s">
        <v>18</v>
      </c>
      <c r="E61" s="5" t="s">
        <v>37</v>
      </c>
      <c r="F61" s="5" t="s">
        <v>44</v>
      </c>
      <c r="G61" s="5">
        <v>29.0</v>
      </c>
      <c r="H61" s="8">
        <v>129.0</v>
      </c>
      <c r="I61" s="8">
        <f t="shared" si="1"/>
        <v>3741</v>
      </c>
      <c r="J61" s="8">
        <f>ROUND(I61*0.557,2)</f>
        <v>2083.74</v>
      </c>
      <c r="K61" s="8">
        <f t="shared" si="2"/>
        <v>1657.26</v>
      </c>
      <c r="L61" s="5">
        <f t="shared" si="3"/>
        <v>3</v>
      </c>
      <c r="M61" s="5" t="str">
        <f t="shared" si="4"/>
        <v>Mar</v>
      </c>
    </row>
    <row r="62" ht="15.75" customHeight="1">
      <c r="A62" s="5" t="s">
        <v>160</v>
      </c>
      <c r="B62" s="6">
        <v>45737.0</v>
      </c>
      <c r="C62" s="5" t="s">
        <v>30</v>
      </c>
      <c r="D62" s="5" t="s">
        <v>18</v>
      </c>
      <c r="E62" s="5" t="s">
        <v>37</v>
      </c>
      <c r="F62" s="5" t="s">
        <v>41</v>
      </c>
      <c r="G62" s="5">
        <v>2.0</v>
      </c>
      <c r="H62" s="8">
        <v>129.0</v>
      </c>
      <c r="I62" s="8">
        <f t="shared" si="1"/>
        <v>258</v>
      </c>
      <c r="J62" s="8">
        <f>ROUND(I62*0.58,2)</f>
        <v>149.64</v>
      </c>
      <c r="K62" s="8">
        <f t="shared" si="2"/>
        <v>108.36</v>
      </c>
      <c r="L62" s="5">
        <f t="shared" si="3"/>
        <v>3</v>
      </c>
      <c r="M62" s="5" t="str">
        <f t="shared" si="4"/>
        <v>Mar</v>
      </c>
    </row>
    <row r="63" ht="15.75" customHeight="1">
      <c r="A63" s="5" t="s">
        <v>162</v>
      </c>
      <c r="B63" s="6">
        <v>45737.0</v>
      </c>
      <c r="C63" s="5" t="s">
        <v>46</v>
      </c>
      <c r="D63" s="5" t="s">
        <v>18</v>
      </c>
      <c r="E63" s="5" t="s">
        <v>112</v>
      </c>
      <c r="F63" s="5" t="s">
        <v>32</v>
      </c>
      <c r="G63" s="5">
        <v>36.0</v>
      </c>
      <c r="H63" s="8">
        <v>89.0</v>
      </c>
      <c r="I63" s="8">
        <f t="shared" si="1"/>
        <v>3204</v>
      </c>
      <c r="J63" s="8">
        <f>ROUND(I63*0.612,2)</f>
        <v>1960.85</v>
      </c>
      <c r="K63" s="8">
        <f t="shared" si="2"/>
        <v>1243.15</v>
      </c>
      <c r="L63" s="5">
        <f t="shared" si="3"/>
        <v>3</v>
      </c>
      <c r="M63" s="5" t="str">
        <f t="shared" si="4"/>
        <v>Mar</v>
      </c>
    </row>
    <row r="64" ht="15.75" customHeight="1">
      <c r="A64" s="5" t="s">
        <v>163</v>
      </c>
      <c r="B64" s="6">
        <v>45744.0</v>
      </c>
      <c r="C64" s="5" t="s">
        <v>22</v>
      </c>
      <c r="D64" s="5" t="s">
        <v>19</v>
      </c>
      <c r="E64" s="5" t="s">
        <v>94</v>
      </c>
      <c r="F64" s="5" t="s">
        <v>34</v>
      </c>
      <c r="G64" s="5">
        <v>16.0</v>
      </c>
      <c r="H64" s="8">
        <v>29.0</v>
      </c>
      <c r="I64" s="8">
        <f t="shared" si="1"/>
        <v>464</v>
      </c>
      <c r="J64" s="8">
        <f>ROUND(I64*0.664,2)</f>
        <v>308.1</v>
      </c>
      <c r="K64" s="8">
        <f t="shared" si="2"/>
        <v>155.9</v>
      </c>
      <c r="L64" s="5">
        <f t="shared" si="3"/>
        <v>3</v>
      </c>
      <c r="M64" s="5" t="str">
        <f t="shared" si="4"/>
        <v>Mar</v>
      </c>
    </row>
    <row r="65" ht="15.75" customHeight="1">
      <c r="A65" s="5" t="s">
        <v>164</v>
      </c>
      <c r="B65" s="6">
        <v>45744.0</v>
      </c>
      <c r="C65" s="5" t="s">
        <v>22</v>
      </c>
      <c r="D65" s="5" t="s">
        <v>16</v>
      </c>
      <c r="E65" s="5" t="s">
        <v>40</v>
      </c>
      <c r="F65" s="5" t="s">
        <v>32</v>
      </c>
      <c r="G65" s="5">
        <v>23.0</v>
      </c>
      <c r="H65" s="8">
        <v>289.0</v>
      </c>
      <c r="I65" s="8">
        <f t="shared" si="1"/>
        <v>6647</v>
      </c>
      <c r="J65" s="8">
        <f>ROUND(I65*0.674,2)</f>
        <v>4480.08</v>
      </c>
      <c r="K65" s="8">
        <f t="shared" si="2"/>
        <v>2166.92</v>
      </c>
      <c r="L65" s="5">
        <f t="shared" si="3"/>
        <v>3</v>
      </c>
      <c r="M65" s="5" t="str">
        <f t="shared" si="4"/>
        <v>Mar</v>
      </c>
    </row>
    <row r="66" ht="15.75" customHeight="1">
      <c r="A66" s="5" t="s">
        <v>165</v>
      </c>
      <c r="B66" s="6">
        <v>45746.0</v>
      </c>
      <c r="C66" s="5" t="s">
        <v>22</v>
      </c>
      <c r="D66" s="5" t="s">
        <v>18</v>
      </c>
      <c r="E66" s="5" t="s">
        <v>112</v>
      </c>
      <c r="F66" s="5" t="s">
        <v>41</v>
      </c>
      <c r="G66" s="5">
        <v>29.0</v>
      </c>
      <c r="H66" s="8">
        <v>89.0</v>
      </c>
      <c r="I66" s="8">
        <f t="shared" si="1"/>
        <v>2581</v>
      </c>
      <c r="J66" s="8">
        <f>ROUND(I66*0.667,2)</f>
        <v>1721.53</v>
      </c>
      <c r="K66" s="8">
        <f t="shared" si="2"/>
        <v>859.47</v>
      </c>
      <c r="L66" s="5">
        <f t="shared" si="3"/>
        <v>3</v>
      </c>
      <c r="M66" s="5" t="str">
        <f t="shared" si="4"/>
        <v>Mar</v>
      </c>
    </row>
    <row r="67" ht="15.75" customHeight="1">
      <c r="A67" s="5" t="s">
        <v>166</v>
      </c>
      <c r="B67" s="6">
        <v>45747.0</v>
      </c>
      <c r="C67" s="5" t="s">
        <v>36</v>
      </c>
      <c r="D67" s="5" t="s">
        <v>20</v>
      </c>
      <c r="E67" s="5" t="s">
        <v>105</v>
      </c>
      <c r="F67" s="5" t="s">
        <v>32</v>
      </c>
      <c r="G67" s="5">
        <v>19.0</v>
      </c>
      <c r="H67" s="8">
        <v>24.0</v>
      </c>
      <c r="I67" s="8">
        <f t="shared" si="1"/>
        <v>456</v>
      </c>
      <c r="J67" s="8">
        <f>ROUND(I67*0.586,2)</f>
        <v>267.22</v>
      </c>
      <c r="K67" s="8">
        <f t="shared" si="2"/>
        <v>188.78</v>
      </c>
      <c r="L67" s="5">
        <f t="shared" si="3"/>
        <v>3</v>
      </c>
      <c r="M67" s="5" t="str">
        <f t="shared" si="4"/>
        <v>Mar</v>
      </c>
    </row>
    <row r="68" ht="15.75" customHeight="1">
      <c r="A68" s="5" t="s">
        <v>167</v>
      </c>
      <c r="B68" s="6">
        <v>45747.0</v>
      </c>
      <c r="C68" s="5" t="s">
        <v>30</v>
      </c>
      <c r="D68" s="5" t="s">
        <v>20</v>
      </c>
      <c r="E68" s="5" t="s">
        <v>23</v>
      </c>
      <c r="F68" s="5" t="s">
        <v>38</v>
      </c>
      <c r="G68" s="5">
        <v>36.0</v>
      </c>
      <c r="H68" s="8">
        <v>89.0</v>
      </c>
      <c r="I68" s="8">
        <f t="shared" si="1"/>
        <v>3204</v>
      </c>
      <c r="J68" s="8">
        <f>ROUND(I68*0.692,2)</f>
        <v>2217.17</v>
      </c>
      <c r="K68" s="8">
        <f t="shared" si="2"/>
        <v>986.83</v>
      </c>
      <c r="L68" s="5">
        <f t="shared" si="3"/>
        <v>3</v>
      </c>
      <c r="M68" s="5" t="str">
        <f t="shared" si="4"/>
        <v>Mar</v>
      </c>
    </row>
    <row r="69" ht="15.75" customHeight="1">
      <c r="A69" s="5" t="s">
        <v>168</v>
      </c>
      <c r="B69" s="6">
        <v>45751.0</v>
      </c>
      <c r="C69" s="5" t="s">
        <v>36</v>
      </c>
      <c r="D69" s="5" t="s">
        <v>20</v>
      </c>
      <c r="E69" s="5" t="s">
        <v>23</v>
      </c>
      <c r="F69" s="5" t="s">
        <v>34</v>
      </c>
      <c r="G69" s="5">
        <v>29.0</v>
      </c>
      <c r="H69" s="8">
        <v>89.0</v>
      </c>
      <c r="I69" s="8">
        <f t="shared" si="1"/>
        <v>2581</v>
      </c>
      <c r="J69" s="8">
        <f>ROUND(I69*0.687,2)</f>
        <v>1773.15</v>
      </c>
      <c r="K69" s="8">
        <f t="shared" si="2"/>
        <v>807.85</v>
      </c>
      <c r="L69" s="5">
        <f t="shared" si="3"/>
        <v>4</v>
      </c>
      <c r="M69" s="5" t="str">
        <f t="shared" si="4"/>
        <v>Apr</v>
      </c>
    </row>
    <row r="70" ht="15.75" customHeight="1">
      <c r="A70" s="5" t="s">
        <v>169</v>
      </c>
      <c r="B70" s="6">
        <v>45759.0</v>
      </c>
      <c r="C70" s="5" t="s">
        <v>46</v>
      </c>
      <c r="D70" s="5" t="s">
        <v>16</v>
      </c>
      <c r="E70" s="5" t="s">
        <v>40</v>
      </c>
      <c r="F70" s="5" t="s">
        <v>44</v>
      </c>
      <c r="G70" s="5">
        <v>10.0</v>
      </c>
      <c r="H70" s="8">
        <v>289.0</v>
      </c>
      <c r="I70" s="8">
        <f t="shared" si="1"/>
        <v>2890</v>
      </c>
      <c r="J70" s="8">
        <f>ROUND(I70*0.704,2)</f>
        <v>2034.56</v>
      </c>
      <c r="K70" s="8">
        <f t="shared" si="2"/>
        <v>855.44</v>
      </c>
      <c r="L70" s="5">
        <f t="shared" si="3"/>
        <v>4</v>
      </c>
      <c r="M70" s="5" t="str">
        <f t="shared" si="4"/>
        <v>Apr</v>
      </c>
    </row>
    <row r="71" ht="15.75" customHeight="1">
      <c r="A71" s="5" t="s">
        <v>170</v>
      </c>
      <c r="B71" s="6">
        <v>45765.0</v>
      </c>
      <c r="C71" s="5" t="s">
        <v>30</v>
      </c>
      <c r="D71" s="5" t="s">
        <v>16</v>
      </c>
      <c r="E71" s="5" t="s">
        <v>101</v>
      </c>
      <c r="F71" s="5" t="s">
        <v>38</v>
      </c>
      <c r="G71" s="5">
        <v>27.0</v>
      </c>
      <c r="H71" s="8">
        <v>179.0</v>
      </c>
      <c r="I71" s="8">
        <f t="shared" si="1"/>
        <v>4833</v>
      </c>
      <c r="J71" s="8">
        <f>ROUND(I71*0.716,2)</f>
        <v>3460.43</v>
      </c>
      <c r="K71" s="8">
        <f t="shared" si="2"/>
        <v>1372.57</v>
      </c>
      <c r="L71" s="5">
        <f t="shared" si="3"/>
        <v>4</v>
      </c>
      <c r="M71" s="5" t="str">
        <f t="shared" si="4"/>
        <v>Apr</v>
      </c>
    </row>
    <row r="72" ht="15.75" customHeight="1">
      <c r="A72" s="5" t="s">
        <v>171</v>
      </c>
      <c r="B72" s="6">
        <v>45766.0</v>
      </c>
      <c r="C72" s="5" t="s">
        <v>36</v>
      </c>
      <c r="D72" s="5" t="s">
        <v>19</v>
      </c>
      <c r="E72" s="5" t="s">
        <v>94</v>
      </c>
      <c r="F72" s="5" t="s">
        <v>32</v>
      </c>
      <c r="G72" s="5">
        <v>39.0</v>
      </c>
      <c r="H72" s="8">
        <v>29.0</v>
      </c>
      <c r="I72" s="8">
        <f t="shared" si="1"/>
        <v>1131</v>
      </c>
      <c r="J72" s="8">
        <f>ROUND(I72*0.669,2)</f>
        <v>756.64</v>
      </c>
      <c r="K72" s="8">
        <f t="shared" si="2"/>
        <v>374.36</v>
      </c>
      <c r="L72" s="5">
        <f t="shared" si="3"/>
        <v>4</v>
      </c>
      <c r="M72" s="5" t="str">
        <f t="shared" si="4"/>
        <v>Apr</v>
      </c>
    </row>
    <row r="73" ht="15.75" customHeight="1">
      <c r="A73" s="5" t="s">
        <v>172</v>
      </c>
      <c r="B73" s="6">
        <v>45767.0</v>
      </c>
      <c r="C73" s="5" t="s">
        <v>36</v>
      </c>
      <c r="D73" s="5" t="s">
        <v>20</v>
      </c>
      <c r="E73" s="5" t="s">
        <v>23</v>
      </c>
      <c r="F73" s="5" t="s">
        <v>24</v>
      </c>
      <c r="G73" s="5">
        <v>9.0</v>
      </c>
      <c r="H73" s="8">
        <v>89.0</v>
      </c>
      <c r="I73" s="8">
        <f t="shared" si="1"/>
        <v>801</v>
      </c>
      <c r="J73" s="8">
        <f>ROUND(I73*0.576,2)</f>
        <v>461.38</v>
      </c>
      <c r="K73" s="8">
        <f t="shared" si="2"/>
        <v>339.62</v>
      </c>
      <c r="L73" s="5">
        <f t="shared" si="3"/>
        <v>4</v>
      </c>
      <c r="M73" s="5" t="str">
        <f t="shared" si="4"/>
        <v>Apr</v>
      </c>
    </row>
    <row r="74" ht="15.75" customHeight="1">
      <c r="A74" s="5" t="s">
        <v>173</v>
      </c>
      <c r="B74" s="6">
        <v>45768.0</v>
      </c>
      <c r="C74" s="5" t="s">
        <v>46</v>
      </c>
      <c r="D74" s="5" t="s">
        <v>20</v>
      </c>
      <c r="E74" s="5" t="s">
        <v>23</v>
      </c>
      <c r="F74" s="5" t="s">
        <v>41</v>
      </c>
      <c r="G74" s="5">
        <v>22.0</v>
      </c>
      <c r="H74" s="8">
        <v>89.0</v>
      </c>
      <c r="I74" s="8">
        <f t="shared" si="1"/>
        <v>1958</v>
      </c>
      <c r="J74" s="8">
        <f>ROUND(I74*0.691,2)</f>
        <v>1352.98</v>
      </c>
      <c r="K74" s="8">
        <f t="shared" si="2"/>
        <v>605.02</v>
      </c>
      <c r="L74" s="5">
        <f t="shared" si="3"/>
        <v>4</v>
      </c>
      <c r="M74" s="5" t="str">
        <f t="shared" si="4"/>
        <v>Apr</v>
      </c>
    </row>
    <row r="75" ht="15.75" customHeight="1">
      <c r="A75" s="5" t="s">
        <v>174</v>
      </c>
      <c r="B75" s="6">
        <v>45770.0</v>
      </c>
      <c r="C75" s="5" t="s">
        <v>30</v>
      </c>
      <c r="D75" s="5" t="s">
        <v>19</v>
      </c>
      <c r="E75" s="5" t="s">
        <v>51</v>
      </c>
      <c r="F75" s="5" t="s">
        <v>44</v>
      </c>
      <c r="G75" s="5">
        <v>7.0</v>
      </c>
      <c r="H75" s="8">
        <v>74.0</v>
      </c>
      <c r="I75" s="8">
        <f t="shared" si="1"/>
        <v>518</v>
      </c>
      <c r="J75" s="8">
        <f>ROUND(I75*0.704,2)</f>
        <v>364.67</v>
      </c>
      <c r="K75" s="8">
        <f t="shared" si="2"/>
        <v>153.33</v>
      </c>
      <c r="L75" s="5">
        <f t="shared" si="3"/>
        <v>4</v>
      </c>
      <c r="M75" s="5" t="str">
        <f t="shared" si="4"/>
        <v>Apr</v>
      </c>
    </row>
    <row r="76" ht="15.75" customHeight="1">
      <c r="A76" s="5" t="s">
        <v>176</v>
      </c>
      <c r="B76" s="6">
        <v>45773.0</v>
      </c>
      <c r="C76" s="5" t="s">
        <v>30</v>
      </c>
      <c r="D76" s="5" t="s">
        <v>18</v>
      </c>
      <c r="E76" s="5" t="s">
        <v>112</v>
      </c>
      <c r="F76" s="5" t="s">
        <v>34</v>
      </c>
      <c r="G76" s="5">
        <v>16.0</v>
      </c>
      <c r="H76" s="8">
        <v>89.0</v>
      </c>
      <c r="I76" s="8">
        <f t="shared" si="1"/>
        <v>1424</v>
      </c>
      <c r="J76" s="8">
        <f>ROUND(I76*0.717,2)</f>
        <v>1021.01</v>
      </c>
      <c r="K76" s="8">
        <f t="shared" si="2"/>
        <v>402.99</v>
      </c>
      <c r="L76" s="5">
        <f t="shared" si="3"/>
        <v>4</v>
      </c>
      <c r="M76" s="5" t="str">
        <f t="shared" si="4"/>
        <v>Apr</v>
      </c>
    </row>
    <row r="77" ht="15.75" customHeight="1">
      <c r="A77" s="5" t="s">
        <v>180</v>
      </c>
      <c r="B77" s="6">
        <v>45773.0</v>
      </c>
      <c r="C77" s="5" t="s">
        <v>46</v>
      </c>
      <c r="D77" s="5" t="s">
        <v>19</v>
      </c>
      <c r="E77" s="5" t="s">
        <v>56</v>
      </c>
      <c r="F77" s="5" t="s">
        <v>41</v>
      </c>
      <c r="G77" s="5">
        <v>1.0</v>
      </c>
      <c r="H77" s="8">
        <v>199.0</v>
      </c>
      <c r="I77" s="8">
        <f t="shared" si="1"/>
        <v>199</v>
      </c>
      <c r="J77" s="8">
        <f>ROUND(I77*0.595,2)</f>
        <v>118.41</v>
      </c>
      <c r="K77" s="8">
        <f t="shared" si="2"/>
        <v>80.59</v>
      </c>
      <c r="L77" s="5">
        <f t="shared" si="3"/>
        <v>4</v>
      </c>
      <c r="M77" s="5" t="str">
        <f t="shared" si="4"/>
        <v>Apr</v>
      </c>
    </row>
    <row r="78" ht="15.75" customHeight="1">
      <c r="A78" s="5" t="s">
        <v>181</v>
      </c>
      <c r="B78" s="6">
        <v>45774.0</v>
      </c>
      <c r="C78" s="5" t="s">
        <v>30</v>
      </c>
      <c r="D78" s="5" t="s">
        <v>16</v>
      </c>
      <c r="E78" s="5" t="s">
        <v>40</v>
      </c>
      <c r="F78" s="5" t="s">
        <v>41</v>
      </c>
      <c r="G78" s="5">
        <v>22.0</v>
      </c>
      <c r="H78" s="8">
        <v>289.0</v>
      </c>
      <c r="I78" s="8">
        <f t="shared" si="1"/>
        <v>6358</v>
      </c>
      <c r="J78" s="8">
        <f>ROUND(I78*0.597,2)</f>
        <v>3795.73</v>
      </c>
      <c r="K78" s="8">
        <f t="shared" si="2"/>
        <v>2562.27</v>
      </c>
      <c r="L78" s="5">
        <f t="shared" si="3"/>
        <v>4</v>
      </c>
      <c r="M78" s="5" t="str">
        <f t="shared" si="4"/>
        <v>Apr</v>
      </c>
    </row>
    <row r="79" ht="15.75" customHeight="1">
      <c r="A79" s="5" t="s">
        <v>182</v>
      </c>
      <c r="B79" s="6">
        <v>45776.0</v>
      </c>
      <c r="C79" s="5" t="s">
        <v>46</v>
      </c>
      <c r="D79" s="5" t="s">
        <v>18</v>
      </c>
      <c r="E79" s="5" t="s">
        <v>37</v>
      </c>
      <c r="F79" s="5" t="s">
        <v>34</v>
      </c>
      <c r="G79" s="5">
        <v>27.0</v>
      </c>
      <c r="H79" s="8">
        <v>129.0</v>
      </c>
      <c r="I79" s="8">
        <f t="shared" si="1"/>
        <v>3483</v>
      </c>
      <c r="J79" s="8">
        <f>ROUND(I79*0.619,2)</f>
        <v>2155.98</v>
      </c>
      <c r="K79" s="8">
        <f t="shared" si="2"/>
        <v>1327.02</v>
      </c>
      <c r="L79" s="5">
        <f t="shared" si="3"/>
        <v>4</v>
      </c>
      <c r="M79" s="5" t="str">
        <f t="shared" si="4"/>
        <v>Apr</v>
      </c>
    </row>
    <row r="80" ht="15.75" customHeight="1">
      <c r="A80" s="5" t="s">
        <v>183</v>
      </c>
      <c r="B80" s="6">
        <v>45777.0</v>
      </c>
      <c r="C80" s="5" t="s">
        <v>46</v>
      </c>
      <c r="D80" s="5" t="s">
        <v>16</v>
      </c>
      <c r="E80" s="5" t="s">
        <v>101</v>
      </c>
      <c r="F80" s="5" t="s">
        <v>44</v>
      </c>
      <c r="G80" s="5">
        <v>31.0</v>
      </c>
      <c r="H80" s="8">
        <v>179.0</v>
      </c>
      <c r="I80" s="8">
        <f t="shared" si="1"/>
        <v>5549</v>
      </c>
      <c r="J80" s="8">
        <f>ROUND(I80*0.67,2)</f>
        <v>3717.83</v>
      </c>
      <c r="K80" s="8">
        <f t="shared" si="2"/>
        <v>1831.17</v>
      </c>
      <c r="L80" s="5">
        <f t="shared" si="3"/>
        <v>4</v>
      </c>
      <c r="M80" s="5" t="str">
        <f t="shared" si="4"/>
        <v>Apr</v>
      </c>
    </row>
    <row r="81" ht="15.75" customHeight="1">
      <c r="A81" s="5" t="s">
        <v>184</v>
      </c>
      <c r="B81" s="6">
        <v>45777.0</v>
      </c>
      <c r="C81" s="5" t="s">
        <v>36</v>
      </c>
      <c r="D81" s="5" t="s">
        <v>18</v>
      </c>
      <c r="E81" s="5" t="s">
        <v>112</v>
      </c>
      <c r="F81" s="5" t="s">
        <v>32</v>
      </c>
      <c r="G81" s="5">
        <v>10.0</v>
      </c>
      <c r="H81" s="8">
        <v>89.0</v>
      </c>
      <c r="I81" s="8">
        <f t="shared" si="1"/>
        <v>890</v>
      </c>
      <c r="J81" s="8">
        <f>ROUND(I81*0.718,2)</f>
        <v>639.02</v>
      </c>
      <c r="K81" s="8">
        <f t="shared" si="2"/>
        <v>250.98</v>
      </c>
      <c r="L81" s="5">
        <f t="shared" si="3"/>
        <v>4</v>
      </c>
      <c r="M81" s="5" t="str">
        <f t="shared" si="4"/>
        <v>Apr</v>
      </c>
    </row>
    <row r="82" ht="15.75" customHeight="1">
      <c r="A82" s="5" t="s">
        <v>185</v>
      </c>
      <c r="B82" s="6">
        <v>45778.0</v>
      </c>
      <c r="C82" s="5" t="s">
        <v>36</v>
      </c>
      <c r="D82" s="5" t="s">
        <v>19</v>
      </c>
      <c r="E82" s="5" t="s">
        <v>94</v>
      </c>
      <c r="F82" s="5" t="s">
        <v>38</v>
      </c>
      <c r="G82" s="5">
        <v>6.0</v>
      </c>
      <c r="H82" s="8">
        <v>29.0</v>
      </c>
      <c r="I82" s="8">
        <f t="shared" si="1"/>
        <v>174</v>
      </c>
      <c r="J82" s="8">
        <f>ROUND(I82*0.574,2)</f>
        <v>99.88</v>
      </c>
      <c r="K82" s="8">
        <f t="shared" si="2"/>
        <v>74.12</v>
      </c>
      <c r="L82" s="5">
        <f t="shared" si="3"/>
        <v>5</v>
      </c>
      <c r="M82" s="5" t="str">
        <f t="shared" si="4"/>
        <v>May</v>
      </c>
    </row>
    <row r="83" ht="15.75" customHeight="1">
      <c r="A83" s="5" t="s">
        <v>186</v>
      </c>
      <c r="B83" s="6">
        <v>45780.0</v>
      </c>
      <c r="C83" s="5" t="s">
        <v>30</v>
      </c>
      <c r="D83" s="5" t="s">
        <v>20</v>
      </c>
      <c r="E83" s="5" t="s">
        <v>105</v>
      </c>
      <c r="F83" s="5" t="s">
        <v>38</v>
      </c>
      <c r="G83" s="5">
        <v>14.0</v>
      </c>
      <c r="H83" s="8">
        <v>24.0</v>
      </c>
      <c r="I83" s="8">
        <f t="shared" si="1"/>
        <v>336</v>
      </c>
      <c r="J83" s="8">
        <f>ROUND(I83*0.629,2)</f>
        <v>211.34</v>
      </c>
      <c r="K83" s="8">
        <f t="shared" si="2"/>
        <v>124.66</v>
      </c>
      <c r="L83" s="5">
        <f t="shared" si="3"/>
        <v>5</v>
      </c>
      <c r="M83" s="5" t="str">
        <f t="shared" si="4"/>
        <v>May</v>
      </c>
    </row>
    <row r="84" ht="15.75" customHeight="1">
      <c r="A84" s="5" t="s">
        <v>187</v>
      </c>
      <c r="B84" s="6">
        <v>45780.0</v>
      </c>
      <c r="C84" s="5" t="s">
        <v>36</v>
      </c>
      <c r="D84" s="5" t="s">
        <v>20</v>
      </c>
      <c r="E84" s="5" t="s">
        <v>23</v>
      </c>
      <c r="F84" s="5" t="s">
        <v>32</v>
      </c>
      <c r="G84" s="5">
        <v>37.0</v>
      </c>
      <c r="H84" s="8">
        <v>89.0</v>
      </c>
      <c r="I84" s="8">
        <f t="shared" si="1"/>
        <v>3293</v>
      </c>
      <c r="J84" s="8">
        <f>ROUND(I84*0.717,2)</f>
        <v>2361.08</v>
      </c>
      <c r="K84" s="8">
        <f t="shared" si="2"/>
        <v>931.92</v>
      </c>
      <c r="L84" s="5">
        <f t="shared" si="3"/>
        <v>5</v>
      </c>
      <c r="M84" s="5" t="str">
        <f t="shared" si="4"/>
        <v>May</v>
      </c>
    </row>
    <row r="85" ht="15.75" customHeight="1">
      <c r="A85" s="5" t="s">
        <v>188</v>
      </c>
      <c r="B85" s="6">
        <v>45781.0</v>
      </c>
      <c r="C85" s="5" t="s">
        <v>46</v>
      </c>
      <c r="D85" s="5" t="s">
        <v>20</v>
      </c>
      <c r="E85" s="5" t="s">
        <v>43</v>
      </c>
      <c r="F85" s="5" t="s">
        <v>34</v>
      </c>
      <c r="G85" s="5">
        <v>6.0</v>
      </c>
      <c r="H85" s="8">
        <v>159.0</v>
      </c>
      <c r="I85" s="8">
        <f t="shared" si="1"/>
        <v>954</v>
      </c>
      <c r="J85" s="8">
        <f>ROUND(I85*0.6,2)</f>
        <v>572.4</v>
      </c>
      <c r="K85" s="8">
        <f t="shared" si="2"/>
        <v>381.6</v>
      </c>
      <c r="L85" s="5">
        <f t="shared" si="3"/>
        <v>5</v>
      </c>
      <c r="M85" s="5" t="str">
        <f t="shared" si="4"/>
        <v>May</v>
      </c>
    </row>
    <row r="86" ht="15.75" customHeight="1">
      <c r="A86" s="5" t="s">
        <v>189</v>
      </c>
      <c r="B86" s="6">
        <v>45781.0</v>
      </c>
      <c r="C86" s="5" t="s">
        <v>46</v>
      </c>
      <c r="D86" s="5" t="s">
        <v>18</v>
      </c>
      <c r="E86" s="5" t="s">
        <v>112</v>
      </c>
      <c r="F86" s="5" t="s">
        <v>38</v>
      </c>
      <c r="G86" s="5">
        <v>24.0</v>
      </c>
      <c r="H86" s="8">
        <v>89.0</v>
      </c>
      <c r="I86" s="8">
        <f t="shared" si="1"/>
        <v>2136</v>
      </c>
      <c r="J86" s="8">
        <f>ROUND(I86*0.562,2)</f>
        <v>1200.43</v>
      </c>
      <c r="K86" s="8">
        <f t="shared" si="2"/>
        <v>935.57</v>
      </c>
      <c r="L86" s="5">
        <f t="shared" si="3"/>
        <v>5</v>
      </c>
      <c r="M86" s="5" t="str">
        <f t="shared" si="4"/>
        <v>May</v>
      </c>
    </row>
    <row r="87" ht="15.75" customHeight="1">
      <c r="A87" s="5" t="s">
        <v>190</v>
      </c>
      <c r="B87" s="6">
        <v>45783.0</v>
      </c>
      <c r="C87" s="5" t="s">
        <v>22</v>
      </c>
      <c r="D87" s="5" t="s">
        <v>19</v>
      </c>
      <c r="E87" s="5" t="s">
        <v>49</v>
      </c>
      <c r="F87" s="5" t="s">
        <v>24</v>
      </c>
      <c r="G87" s="5">
        <v>30.0</v>
      </c>
      <c r="H87" s="8">
        <v>22.0</v>
      </c>
      <c r="I87" s="8">
        <f t="shared" si="1"/>
        <v>660</v>
      </c>
      <c r="J87" s="8">
        <f>ROUND(I87*0.647,2)</f>
        <v>427.02</v>
      </c>
      <c r="K87" s="8">
        <f t="shared" si="2"/>
        <v>232.98</v>
      </c>
      <c r="L87" s="5">
        <f t="shared" si="3"/>
        <v>5</v>
      </c>
      <c r="M87" s="5" t="str">
        <f t="shared" si="4"/>
        <v>May</v>
      </c>
    </row>
    <row r="88" ht="15.75" customHeight="1">
      <c r="A88" s="5" t="s">
        <v>191</v>
      </c>
      <c r="B88" s="6">
        <v>45785.0</v>
      </c>
      <c r="C88" s="5" t="s">
        <v>22</v>
      </c>
      <c r="D88" s="5" t="s">
        <v>20</v>
      </c>
      <c r="E88" s="5" t="s">
        <v>23</v>
      </c>
      <c r="F88" s="5" t="s">
        <v>38</v>
      </c>
      <c r="G88" s="5">
        <v>25.0</v>
      </c>
      <c r="H88" s="8">
        <v>89.0</v>
      </c>
      <c r="I88" s="8">
        <f t="shared" si="1"/>
        <v>2225</v>
      </c>
      <c r="J88" s="8">
        <f>ROUND(I88*0.627,2)</f>
        <v>1395.08</v>
      </c>
      <c r="K88" s="8">
        <f t="shared" si="2"/>
        <v>829.92</v>
      </c>
      <c r="L88" s="5">
        <f t="shared" si="3"/>
        <v>5</v>
      </c>
      <c r="M88" s="5" t="str">
        <f t="shared" si="4"/>
        <v>May</v>
      </c>
    </row>
    <row r="89" ht="15.75" customHeight="1">
      <c r="A89" s="5" t="s">
        <v>192</v>
      </c>
      <c r="B89" s="6">
        <v>45786.0</v>
      </c>
      <c r="C89" s="5" t="s">
        <v>22</v>
      </c>
      <c r="D89" s="5" t="s">
        <v>16</v>
      </c>
      <c r="E89" s="5" t="s">
        <v>47</v>
      </c>
      <c r="F89" s="5" t="s">
        <v>32</v>
      </c>
      <c r="G89" s="5">
        <v>3.0</v>
      </c>
      <c r="H89" s="8">
        <v>45.0</v>
      </c>
      <c r="I89" s="8">
        <f t="shared" si="1"/>
        <v>135</v>
      </c>
      <c r="J89" s="8">
        <f>ROUND(I89*0.551,2)</f>
        <v>74.39</v>
      </c>
      <c r="K89" s="8">
        <f t="shared" si="2"/>
        <v>60.61</v>
      </c>
      <c r="L89" s="5">
        <f t="shared" si="3"/>
        <v>5</v>
      </c>
      <c r="M89" s="5" t="str">
        <f t="shared" si="4"/>
        <v>May</v>
      </c>
    </row>
    <row r="90" ht="15.75" customHeight="1">
      <c r="A90" s="5" t="s">
        <v>193</v>
      </c>
      <c r="B90" s="6">
        <v>45787.0</v>
      </c>
      <c r="C90" s="5" t="s">
        <v>22</v>
      </c>
      <c r="D90" s="5" t="s">
        <v>19</v>
      </c>
      <c r="E90" s="5" t="s">
        <v>56</v>
      </c>
      <c r="F90" s="5" t="s">
        <v>32</v>
      </c>
      <c r="G90" s="5">
        <v>16.0</v>
      </c>
      <c r="H90" s="8">
        <v>199.0</v>
      </c>
      <c r="I90" s="8">
        <f t="shared" si="1"/>
        <v>3184</v>
      </c>
      <c r="J90" s="8">
        <f>ROUND(I90*0.675,2)</f>
        <v>2149.2</v>
      </c>
      <c r="K90" s="8">
        <f t="shared" si="2"/>
        <v>1034.8</v>
      </c>
      <c r="L90" s="5">
        <f t="shared" si="3"/>
        <v>5</v>
      </c>
      <c r="M90" s="5" t="str">
        <f t="shared" si="4"/>
        <v>May</v>
      </c>
    </row>
    <row r="91" ht="15.75" customHeight="1">
      <c r="A91" s="5" t="s">
        <v>194</v>
      </c>
      <c r="B91" s="6">
        <v>45788.0</v>
      </c>
      <c r="C91" s="5" t="s">
        <v>36</v>
      </c>
      <c r="D91" s="5" t="s">
        <v>19</v>
      </c>
      <c r="E91" s="5" t="s">
        <v>56</v>
      </c>
      <c r="F91" s="5" t="s">
        <v>34</v>
      </c>
      <c r="G91" s="5">
        <v>32.0</v>
      </c>
      <c r="H91" s="8">
        <v>199.0</v>
      </c>
      <c r="I91" s="8">
        <f t="shared" si="1"/>
        <v>6368</v>
      </c>
      <c r="J91" s="8">
        <f>ROUND(I91*0.677,2)</f>
        <v>4311.14</v>
      </c>
      <c r="K91" s="8">
        <f t="shared" si="2"/>
        <v>2056.86</v>
      </c>
      <c r="L91" s="5">
        <f t="shared" si="3"/>
        <v>5</v>
      </c>
      <c r="M91" s="5" t="str">
        <f t="shared" si="4"/>
        <v>May</v>
      </c>
    </row>
    <row r="92" ht="15.75" customHeight="1">
      <c r="A92" s="5" t="s">
        <v>195</v>
      </c>
      <c r="B92" s="6">
        <v>45789.0</v>
      </c>
      <c r="C92" s="5" t="s">
        <v>36</v>
      </c>
      <c r="D92" s="5" t="s">
        <v>18</v>
      </c>
      <c r="E92" s="5" t="s">
        <v>112</v>
      </c>
      <c r="F92" s="5" t="s">
        <v>24</v>
      </c>
      <c r="G92" s="5">
        <v>20.0</v>
      </c>
      <c r="H92" s="8">
        <v>89.0</v>
      </c>
      <c r="I92" s="8">
        <f t="shared" si="1"/>
        <v>1780</v>
      </c>
      <c r="J92" s="8">
        <f>ROUND(I92*0.568,2)</f>
        <v>1011.04</v>
      </c>
      <c r="K92" s="8">
        <f t="shared" si="2"/>
        <v>768.96</v>
      </c>
      <c r="L92" s="5">
        <f t="shared" si="3"/>
        <v>5</v>
      </c>
      <c r="M92" s="5" t="str">
        <f t="shared" si="4"/>
        <v>May</v>
      </c>
    </row>
    <row r="93" ht="15.75" customHeight="1">
      <c r="A93" s="5" t="s">
        <v>196</v>
      </c>
      <c r="B93" s="6">
        <v>45792.0</v>
      </c>
      <c r="C93" s="5" t="s">
        <v>30</v>
      </c>
      <c r="D93" s="5" t="s">
        <v>16</v>
      </c>
      <c r="E93" s="5" t="s">
        <v>101</v>
      </c>
      <c r="F93" s="5" t="s">
        <v>44</v>
      </c>
      <c r="G93" s="5">
        <v>33.0</v>
      </c>
      <c r="H93" s="8">
        <v>179.0</v>
      </c>
      <c r="I93" s="8">
        <f t="shared" si="1"/>
        <v>5907</v>
      </c>
      <c r="J93" s="8">
        <f>ROUND(I93*0.654,2)</f>
        <v>3863.18</v>
      </c>
      <c r="K93" s="8">
        <f t="shared" si="2"/>
        <v>2043.82</v>
      </c>
      <c r="L93" s="5">
        <f t="shared" si="3"/>
        <v>5</v>
      </c>
      <c r="M93" s="5" t="str">
        <f t="shared" si="4"/>
        <v>May</v>
      </c>
    </row>
    <row r="94" ht="15.75" customHeight="1">
      <c r="A94" s="5" t="s">
        <v>197</v>
      </c>
      <c r="B94" s="6">
        <v>45793.0</v>
      </c>
      <c r="C94" s="5" t="s">
        <v>30</v>
      </c>
      <c r="D94" s="5" t="s">
        <v>19</v>
      </c>
      <c r="E94" s="5" t="s">
        <v>56</v>
      </c>
      <c r="F94" s="5" t="s">
        <v>24</v>
      </c>
      <c r="G94" s="5">
        <v>24.0</v>
      </c>
      <c r="H94" s="8">
        <v>199.0</v>
      </c>
      <c r="I94" s="8">
        <f t="shared" si="1"/>
        <v>4776</v>
      </c>
      <c r="J94" s="8">
        <f>ROUND(I94*0.598,2)</f>
        <v>2856.05</v>
      </c>
      <c r="K94" s="8">
        <f t="shared" si="2"/>
        <v>1919.95</v>
      </c>
      <c r="L94" s="5">
        <f t="shared" si="3"/>
        <v>5</v>
      </c>
      <c r="M94" s="5" t="str">
        <f t="shared" si="4"/>
        <v>May</v>
      </c>
    </row>
    <row r="95" ht="15.75" customHeight="1">
      <c r="A95" s="5" t="s">
        <v>198</v>
      </c>
      <c r="B95" s="6">
        <v>45793.0</v>
      </c>
      <c r="C95" s="5" t="s">
        <v>36</v>
      </c>
      <c r="D95" s="5" t="s">
        <v>20</v>
      </c>
      <c r="E95" s="5" t="s">
        <v>105</v>
      </c>
      <c r="F95" s="5" t="s">
        <v>32</v>
      </c>
      <c r="G95" s="5">
        <v>35.0</v>
      </c>
      <c r="H95" s="8">
        <v>24.0</v>
      </c>
      <c r="I95" s="8">
        <f t="shared" si="1"/>
        <v>840</v>
      </c>
      <c r="J95" s="8">
        <f>ROUND(I95*0.615,2)</f>
        <v>516.6</v>
      </c>
      <c r="K95" s="8">
        <f t="shared" si="2"/>
        <v>323.4</v>
      </c>
      <c r="L95" s="5">
        <f t="shared" si="3"/>
        <v>5</v>
      </c>
      <c r="M95" s="5" t="str">
        <f t="shared" si="4"/>
        <v>May</v>
      </c>
    </row>
    <row r="96" ht="15.75" customHeight="1">
      <c r="A96" s="5" t="s">
        <v>199</v>
      </c>
      <c r="B96" s="6">
        <v>45796.0</v>
      </c>
      <c r="C96" s="5" t="s">
        <v>46</v>
      </c>
      <c r="D96" s="5" t="s">
        <v>20</v>
      </c>
      <c r="E96" s="5" t="s">
        <v>43</v>
      </c>
      <c r="F96" s="5" t="s">
        <v>44</v>
      </c>
      <c r="G96" s="5">
        <v>38.0</v>
      </c>
      <c r="H96" s="8">
        <v>159.0</v>
      </c>
      <c r="I96" s="8">
        <f t="shared" si="1"/>
        <v>6042</v>
      </c>
      <c r="J96" s="8">
        <f>ROUND(I96*0.596,2)</f>
        <v>3601.03</v>
      </c>
      <c r="K96" s="8">
        <f t="shared" si="2"/>
        <v>2440.97</v>
      </c>
      <c r="L96" s="5">
        <f t="shared" si="3"/>
        <v>5</v>
      </c>
      <c r="M96" s="5" t="str">
        <f t="shared" si="4"/>
        <v>May</v>
      </c>
    </row>
    <row r="97" ht="15.75" customHeight="1">
      <c r="A97" s="5" t="s">
        <v>200</v>
      </c>
      <c r="B97" s="6">
        <v>45797.0</v>
      </c>
      <c r="C97" s="5" t="s">
        <v>46</v>
      </c>
      <c r="D97" s="5" t="s">
        <v>20</v>
      </c>
      <c r="E97" s="5" t="s">
        <v>105</v>
      </c>
      <c r="F97" s="5" t="s">
        <v>38</v>
      </c>
      <c r="G97" s="5">
        <v>3.0</v>
      </c>
      <c r="H97" s="8">
        <v>24.0</v>
      </c>
      <c r="I97" s="8">
        <f t="shared" si="1"/>
        <v>72</v>
      </c>
      <c r="J97" s="8">
        <f>ROUND(I97*0.701,2)</f>
        <v>50.47</v>
      </c>
      <c r="K97" s="8">
        <f t="shared" si="2"/>
        <v>21.53</v>
      </c>
      <c r="L97" s="5">
        <f t="shared" si="3"/>
        <v>5</v>
      </c>
      <c r="M97" s="5" t="str">
        <f t="shared" si="4"/>
        <v>May</v>
      </c>
    </row>
    <row r="98" ht="15.75" customHeight="1">
      <c r="A98" s="5" t="s">
        <v>201</v>
      </c>
      <c r="B98" s="6">
        <v>45797.0</v>
      </c>
      <c r="C98" s="5" t="s">
        <v>46</v>
      </c>
      <c r="D98" s="5" t="s">
        <v>20</v>
      </c>
      <c r="E98" s="5" t="s">
        <v>43</v>
      </c>
      <c r="F98" s="5" t="s">
        <v>24</v>
      </c>
      <c r="G98" s="5">
        <v>30.0</v>
      </c>
      <c r="H98" s="8">
        <v>159.0</v>
      </c>
      <c r="I98" s="8">
        <f t="shared" si="1"/>
        <v>4770</v>
      </c>
      <c r="J98" s="8">
        <f>ROUND(I98*0.644,2)</f>
        <v>3071.88</v>
      </c>
      <c r="K98" s="8">
        <f t="shared" si="2"/>
        <v>1698.12</v>
      </c>
      <c r="L98" s="5">
        <f t="shared" si="3"/>
        <v>5</v>
      </c>
      <c r="M98" s="5" t="str">
        <f t="shared" si="4"/>
        <v>May</v>
      </c>
    </row>
    <row r="99" ht="15.75" customHeight="1">
      <c r="A99" s="5" t="s">
        <v>202</v>
      </c>
      <c r="B99" s="6">
        <v>45797.0</v>
      </c>
      <c r="C99" s="5" t="s">
        <v>36</v>
      </c>
      <c r="D99" s="5" t="s">
        <v>19</v>
      </c>
      <c r="E99" s="5" t="s">
        <v>94</v>
      </c>
      <c r="F99" s="5" t="s">
        <v>34</v>
      </c>
      <c r="G99" s="5">
        <v>12.0</v>
      </c>
      <c r="H99" s="8">
        <v>29.0</v>
      </c>
      <c r="I99" s="8">
        <f t="shared" si="1"/>
        <v>348</v>
      </c>
      <c r="J99" s="8">
        <f>ROUND(I99*0.698,2)</f>
        <v>242.9</v>
      </c>
      <c r="K99" s="8">
        <f t="shared" si="2"/>
        <v>105.1</v>
      </c>
      <c r="L99" s="5">
        <f t="shared" si="3"/>
        <v>5</v>
      </c>
      <c r="M99" s="5" t="str">
        <f t="shared" si="4"/>
        <v>May</v>
      </c>
    </row>
    <row r="100" ht="15.75" customHeight="1">
      <c r="A100" s="5" t="s">
        <v>203</v>
      </c>
      <c r="B100" s="6">
        <v>45799.0</v>
      </c>
      <c r="C100" s="5" t="s">
        <v>22</v>
      </c>
      <c r="D100" s="5" t="s">
        <v>18</v>
      </c>
      <c r="E100" s="5" t="s">
        <v>112</v>
      </c>
      <c r="F100" s="5" t="s">
        <v>24</v>
      </c>
      <c r="G100" s="5">
        <v>27.0</v>
      </c>
      <c r="H100" s="8">
        <v>89.0</v>
      </c>
      <c r="I100" s="8">
        <f t="shared" si="1"/>
        <v>2403</v>
      </c>
      <c r="J100" s="8">
        <f>ROUND(I100*0.633,2)</f>
        <v>1521.1</v>
      </c>
      <c r="K100" s="8">
        <f t="shared" si="2"/>
        <v>881.9</v>
      </c>
      <c r="L100" s="5">
        <f t="shared" si="3"/>
        <v>5</v>
      </c>
      <c r="M100" s="5" t="str">
        <f t="shared" si="4"/>
        <v>May</v>
      </c>
    </row>
    <row r="101" ht="15.75" customHeight="1">
      <c r="A101" s="5" t="s">
        <v>204</v>
      </c>
      <c r="B101" s="6">
        <v>45800.0</v>
      </c>
      <c r="C101" s="5" t="s">
        <v>30</v>
      </c>
      <c r="D101" s="5" t="s">
        <v>20</v>
      </c>
      <c r="E101" s="5" t="s">
        <v>43</v>
      </c>
      <c r="F101" s="5" t="s">
        <v>34</v>
      </c>
      <c r="G101" s="5">
        <v>31.0</v>
      </c>
      <c r="H101" s="8">
        <v>159.0</v>
      </c>
      <c r="I101" s="8">
        <f t="shared" si="1"/>
        <v>4929</v>
      </c>
      <c r="J101" s="8">
        <f>ROUND(I101*0.609,2)</f>
        <v>3001.76</v>
      </c>
      <c r="K101" s="8">
        <f t="shared" si="2"/>
        <v>1927.24</v>
      </c>
      <c r="L101" s="5">
        <f t="shared" si="3"/>
        <v>5</v>
      </c>
      <c r="M101" s="5" t="str">
        <f t="shared" si="4"/>
        <v>May</v>
      </c>
    </row>
    <row r="102" ht="15.75" customHeight="1">
      <c r="A102" s="5" t="s">
        <v>205</v>
      </c>
      <c r="B102" s="6">
        <v>45800.0</v>
      </c>
      <c r="C102" s="5" t="s">
        <v>30</v>
      </c>
      <c r="D102" s="5" t="s">
        <v>20</v>
      </c>
      <c r="E102" s="5" t="s">
        <v>105</v>
      </c>
      <c r="F102" s="5" t="s">
        <v>38</v>
      </c>
      <c r="G102" s="5">
        <v>18.0</v>
      </c>
      <c r="H102" s="8">
        <v>24.0</v>
      </c>
      <c r="I102" s="8">
        <f t="shared" si="1"/>
        <v>432</v>
      </c>
      <c r="J102" s="8">
        <f>ROUND(I102*0.555,2)</f>
        <v>239.76</v>
      </c>
      <c r="K102" s="8">
        <f t="shared" si="2"/>
        <v>192.24</v>
      </c>
      <c r="L102" s="5">
        <f t="shared" si="3"/>
        <v>5</v>
      </c>
      <c r="M102" s="5" t="str">
        <f t="shared" si="4"/>
        <v>May</v>
      </c>
    </row>
    <row r="103" ht="15.75" customHeight="1">
      <c r="A103" s="5" t="s">
        <v>206</v>
      </c>
      <c r="B103" s="6">
        <v>45802.0</v>
      </c>
      <c r="C103" s="5" t="s">
        <v>30</v>
      </c>
      <c r="D103" s="5" t="s">
        <v>19</v>
      </c>
      <c r="E103" s="5" t="s">
        <v>51</v>
      </c>
      <c r="F103" s="5" t="s">
        <v>44</v>
      </c>
      <c r="G103" s="5">
        <v>17.0</v>
      </c>
      <c r="H103" s="8">
        <v>74.0</v>
      </c>
      <c r="I103" s="8">
        <f t="shared" si="1"/>
        <v>1258</v>
      </c>
      <c r="J103" s="8">
        <f>ROUND(I103*0.636,2)</f>
        <v>800.09</v>
      </c>
      <c r="K103" s="8">
        <f t="shared" si="2"/>
        <v>457.91</v>
      </c>
      <c r="L103" s="5">
        <f t="shared" si="3"/>
        <v>5</v>
      </c>
      <c r="M103" s="5" t="str">
        <f t="shared" si="4"/>
        <v>May</v>
      </c>
    </row>
    <row r="104" ht="15.75" customHeight="1">
      <c r="A104" s="5" t="s">
        <v>207</v>
      </c>
      <c r="B104" s="6">
        <v>45805.0</v>
      </c>
      <c r="C104" s="5" t="s">
        <v>46</v>
      </c>
      <c r="D104" s="5" t="s">
        <v>16</v>
      </c>
      <c r="E104" s="5" t="s">
        <v>47</v>
      </c>
      <c r="F104" s="5" t="s">
        <v>34</v>
      </c>
      <c r="G104" s="5">
        <v>21.0</v>
      </c>
      <c r="H104" s="8">
        <v>45.0</v>
      </c>
      <c r="I104" s="8">
        <f t="shared" si="1"/>
        <v>945</v>
      </c>
      <c r="J104" s="8">
        <f>ROUND(I104*0.593,2)</f>
        <v>560.39</v>
      </c>
      <c r="K104" s="8">
        <f t="shared" si="2"/>
        <v>384.61</v>
      </c>
      <c r="L104" s="5">
        <f t="shared" si="3"/>
        <v>5</v>
      </c>
      <c r="M104" s="5" t="str">
        <f t="shared" si="4"/>
        <v>May</v>
      </c>
    </row>
    <row r="105" ht="15.75" customHeight="1">
      <c r="A105" s="5" t="s">
        <v>208</v>
      </c>
      <c r="B105" s="6">
        <v>45805.0</v>
      </c>
      <c r="C105" s="5" t="s">
        <v>46</v>
      </c>
      <c r="D105" s="5" t="s">
        <v>20</v>
      </c>
      <c r="E105" s="5" t="s">
        <v>105</v>
      </c>
      <c r="F105" s="5" t="s">
        <v>34</v>
      </c>
      <c r="G105" s="5">
        <v>39.0</v>
      </c>
      <c r="H105" s="8">
        <v>24.0</v>
      </c>
      <c r="I105" s="8">
        <f t="shared" si="1"/>
        <v>936</v>
      </c>
      <c r="J105" s="8">
        <f>ROUND(I105*0.686,2)</f>
        <v>642.1</v>
      </c>
      <c r="K105" s="8">
        <f t="shared" si="2"/>
        <v>293.9</v>
      </c>
      <c r="L105" s="5">
        <f t="shared" si="3"/>
        <v>5</v>
      </c>
      <c r="M105" s="5" t="str">
        <f t="shared" si="4"/>
        <v>May</v>
      </c>
    </row>
    <row r="106" ht="15.75" customHeight="1">
      <c r="A106" s="5" t="s">
        <v>209</v>
      </c>
      <c r="B106" s="6">
        <v>45809.0</v>
      </c>
      <c r="C106" s="5" t="s">
        <v>36</v>
      </c>
      <c r="D106" s="5" t="s">
        <v>16</v>
      </c>
      <c r="E106" s="5" t="s">
        <v>47</v>
      </c>
      <c r="F106" s="5" t="s">
        <v>34</v>
      </c>
      <c r="G106" s="5">
        <v>10.0</v>
      </c>
      <c r="H106" s="8">
        <v>45.0</v>
      </c>
      <c r="I106" s="8">
        <f t="shared" si="1"/>
        <v>450</v>
      </c>
      <c r="J106" s="8">
        <f>ROUND(I106*0.678,2)</f>
        <v>305.1</v>
      </c>
      <c r="K106" s="8">
        <f t="shared" si="2"/>
        <v>144.9</v>
      </c>
      <c r="L106" s="5">
        <f t="shared" si="3"/>
        <v>6</v>
      </c>
      <c r="M106" s="5" t="str">
        <f t="shared" si="4"/>
        <v>Jun</v>
      </c>
    </row>
    <row r="107" ht="15.75" customHeight="1">
      <c r="A107" s="5" t="s">
        <v>210</v>
      </c>
      <c r="B107" s="6">
        <v>45809.0</v>
      </c>
      <c r="C107" s="5" t="s">
        <v>22</v>
      </c>
      <c r="D107" s="5" t="s">
        <v>16</v>
      </c>
      <c r="E107" s="5" t="s">
        <v>101</v>
      </c>
      <c r="F107" s="5" t="s">
        <v>38</v>
      </c>
      <c r="G107" s="5">
        <v>9.0</v>
      </c>
      <c r="H107" s="8">
        <v>179.0</v>
      </c>
      <c r="I107" s="8">
        <f t="shared" si="1"/>
        <v>1611</v>
      </c>
      <c r="J107" s="8">
        <f>ROUND(I107*0.652,2)</f>
        <v>1050.37</v>
      </c>
      <c r="K107" s="8">
        <f t="shared" si="2"/>
        <v>560.63</v>
      </c>
      <c r="L107" s="5">
        <f t="shared" si="3"/>
        <v>6</v>
      </c>
      <c r="M107" s="5" t="str">
        <f t="shared" si="4"/>
        <v>Jun</v>
      </c>
    </row>
    <row r="108" ht="15.75" customHeight="1">
      <c r="A108" s="5" t="s">
        <v>211</v>
      </c>
      <c r="B108" s="6">
        <v>45809.0</v>
      </c>
      <c r="C108" s="5" t="s">
        <v>36</v>
      </c>
      <c r="D108" s="5" t="s">
        <v>20</v>
      </c>
      <c r="E108" s="5" t="s">
        <v>43</v>
      </c>
      <c r="F108" s="5" t="s">
        <v>24</v>
      </c>
      <c r="G108" s="5">
        <v>29.0</v>
      </c>
      <c r="H108" s="8">
        <v>159.0</v>
      </c>
      <c r="I108" s="8">
        <f t="shared" si="1"/>
        <v>4611</v>
      </c>
      <c r="J108" s="8">
        <f>ROUND(I108*0.61,2)</f>
        <v>2812.71</v>
      </c>
      <c r="K108" s="8">
        <f t="shared" si="2"/>
        <v>1798.29</v>
      </c>
      <c r="L108" s="5">
        <f t="shared" si="3"/>
        <v>6</v>
      </c>
      <c r="M108" s="5" t="str">
        <f t="shared" si="4"/>
        <v>Jun</v>
      </c>
    </row>
    <row r="109" ht="15.75" customHeight="1">
      <c r="A109" s="5" t="s">
        <v>212</v>
      </c>
      <c r="B109" s="6">
        <v>45812.0</v>
      </c>
      <c r="C109" s="5" t="s">
        <v>22</v>
      </c>
      <c r="D109" s="5" t="s">
        <v>18</v>
      </c>
      <c r="E109" s="5" t="s">
        <v>98</v>
      </c>
      <c r="F109" s="5" t="s">
        <v>34</v>
      </c>
      <c r="G109" s="5">
        <v>4.0</v>
      </c>
      <c r="H109" s="8">
        <v>54.0</v>
      </c>
      <c r="I109" s="8">
        <f t="shared" si="1"/>
        <v>216</v>
      </c>
      <c r="J109" s="8">
        <f>ROUND(I109*0.644,2)</f>
        <v>139.1</v>
      </c>
      <c r="K109" s="8">
        <f t="shared" si="2"/>
        <v>76.9</v>
      </c>
      <c r="L109" s="5">
        <f t="shared" si="3"/>
        <v>6</v>
      </c>
      <c r="M109" s="5" t="str">
        <f t="shared" si="4"/>
        <v>Jun</v>
      </c>
    </row>
    <row r="110" ht="15.75" customHeight="1">
      <c r="A110" s="5" t="s">
        <v>213</v>
      </c>
      <c r="B110" s="6">
        <v>45812.0</v>
      </c>
      <c r="C110" s="5" t="s">
        <v>30</v>
      </c>
      <c r="D110" s="5" t="s">
        <v>20</v>
      </c>
      <c r="E110" s="5" t="s">
        <v>43</v>
      </c>
      <c r="F110" s="5" t="s">
        <v>34</v>
      </c>
      <c r="G110" s="5">
        <v>16.0</v>
      </c>
      <c r="H110" s="8">
        <v>159.0</v>
      </c>
      <c r="I110" s="8">
        <f t="shared" si="1"/>
        <v>2544</v>
      </c>
      <c r="J110" s="8">
        <f>ROUND(I110*0.615,2)</f>
        <v>1564.56</v>
      </c>
      <c r="K110" s="8">
        <f t="shared" si="2"/>
        <v>979.44</v>
      </c>
      <c r="L110" s="5">
        <f t="shared" si="3"/>
        <v>6</v>
      </c>
      <c r="M110" s="5" t="str">
        <f t="shared" si="4"/>
        <v>Jun</v>
      </c>
    </row>
    <row r="111" ht="15.75" customHeight="1">
      <c r="A111" s="5" t="s">
        <v>214</v>
      </c>
      <c r="B111" s="6">
        <v>45812.0</v>
      </c>
      <c r="C111" s="5" t="s">
        <v>46</v>
      </c>
      <c r="D111" s="5" t="s">
        <v>16</v>
      </c>
      <c r="E111" s="5" t="s">
        <v>40</v>
      </c>
      <c r="F111" s="5" t="s">
        <v>34</v>
      </c>
      <c r="G111" s="5">
        <v>3.0</v>
      </c>
      <c r="H111" s="8">
        <v>289.0</v>
      </c>
      <c r="I111" s="8">
        <f t="shared" si="1"/>
        <v>867</v>
      </c>
      <c r="J111" s="8">
        <f>ROUND(I111*0.602,2)</f>
        <v>521.93</v>
      </c>
      <c r="K111" s="8">
        <f t="shared" si="2"/>
        <v>345.07</v>
      </c>
      <c r="L111" s="5">
        <f t="shared" si="3"/>
        <v>6</v>
      </c>
      <c r="M111" s="5" t="str">
        <f t="shared" si="4"/>
        <v>Jun</v>
      </c>
    </row>
    <row r="112" ht="15.75" customHeight="1">
      <c r="A112" s="5" t="s">
        <v>215</v>
      </c>
      <c r="B112" s="6">
        <v>45817.0</v>
      </c>
      <c r="C112" s="5" t="s">
        <v>36</v>
      </c>
      <c r="D112" s="5" t="s">
        <v>16</v>
      </c>
      <c r="E112" s="5" t="s">
        <v>117</v>
      </c>
      <c r="F112" s="5" t="s">
        <v>24</v>
      </c>
      <c r="G112" s="5">
        <v>11.0</v>
      </c>
      <c r="H112" s="8">
        <v>59.0</v>
      </c>
      <c r="I112" s="8">
        <f t="shared" si="1"/>
        <v>649</v>
      </c>
      <c r="J112" s="8">
        <f>ROUND(I112*0.678,2)</f>
        <v>440.02</v>
      </c>
      <c r="K112" s="8">
        <f t="shared" si="2"/>
        <v>208.98</v>
      </c>
      <c r="L112" s="5">
        <f t="shared" si="3"/>
        <v>6</v>
      </c>
      <c r="M112" s="5" t="str">
        <f t="shared" si="4"/>
        <v>Jun</v>
      </c>
    </row>
    <row r="113" ht="15.75" customHeight="1">
      <c r="A113" s="5" t="s">
        <v>216</v>
      </c>
      <c r="B113" s="6">
        <v>45818.0</v>
      </c>
      <c r="C113" s="5" t="s">
        <v>30</v>
      </c>
      <c r="D113" s="5" t="s">
        <v>19</v>
      </c>
      <c r="E113" s="5" t="s">
        <v>49</v>
      </c>
      <c r="F113" s="5" t="s">
        <v>24</v>
      </c>
      <c r="G113" s="5">
        <v>20.0</v>
      </c>
      <c r="H113" s="8">
        <v>22.0</v>
      </c>
      <c r="I113" s="8">
        <f t="shared" si="1"/>
        <v>440</v>
      </c>
      <c r="J113" s="8">
        <f>ROUND(I113*0.628,2)</f>
        <v>276.32</v>
      </c>
      <c r="K113" s="8">
        <f t="shared" si="2"/>
        <v>163.68</v>
      </c>
      <c r="L113" s="5">
        <f t="shared" si="3"/>
        <v>6</v>
      </c>
      <c r="M113" s="5" t="str">
        <f t="shared" si="4"/>
        <v>Jun</v>
      </c>
    </row>
    <row r="114" ht="15.75" customHeight="1">
      <c r="A114" s="5" t="s">
        <v>217</v>
      </c>
      <c r="B114" s="6">
        <v>45820.0</v>
      </c>
      <c r="C114" s="5" t="s">
        <v>46</v>
      </c>
      <c r="D114" s="5" t="s">
        <v>16</v>
      </c>
      <c r="E114" s="5" t="s">
        <v>117</v>
      </c>
      <c r="F114" s="5" t="s">
        <v>24</v>
      </c>
      <c r="G114" s="5">
        <v>19.0</v>
      </c>
      <c r="H114" s="8">
        <v>59.0</v>
      </c>
      <c r="I114" s="8">
        <f t="shared" si="1"/>
        <v>1121</v>
      </c>
      <c r="J114" s="8">
        <f>ROUND(I114*0.72,2)</f>
        <v>807.12</v>
      </c>
      <c r="K114" s="8">
        <f t="shared" si="2"/>
        <v>313.88</v>
      </c>
      <c r="L114" s="5">
        <f t="shared" si="3"/>
        <v>6</v>
      </c>
      <c r="M114" s="5" t="str">
        <f t="shared" si="4"/>
        <v>Jun</v>
      </c>
    </row>
    <row r="115" ht="15.75" customHeight="1">
      <c r="A115" s="5" t="s">
        <v>218</v>
      </c>
      <c r="B115" s="6">
        <v>45822.0</v>
      </c>
      <c r="C115" s="5" t="s">
        <v>46</v>
      </c>
      <c r="D115" s="5" t="s">
        <v>18</v>
      </c>
      <c r="E115" s="5" t="s">
        <v>112</v>
      </c>
      <c r="F115" s="5" t="s">
        <v>41</v>
      </c>
      <c r="G115" s="5">
        <v>7.0</v>
      </c>
      <c r="H115" s="8">
        <v>89.0</v>
      </c>
      <c r="I115" s="8">
        <f t="shared" si="1"/>
        <v>623</v>
      </c>
      <c r="J115" s="8">
        <f>ROUND(I115*0.688,2)</f>
        <v>428.62</v>
      </c>
      <c r="K115" s="8">
        <f t="shared" si="2"/>
        <v>194.38</v>
      </c>
      <c r="L115" s="5">
        <f t="shared" si="3"/>
        <v>6</v>
      </c>
      <c r="M115" s="5" t="str">
        <f t="shared" si="4"/>
        <v>Jun</v>
      </c>
    </row>
    <row r="116" ht="15.75" customHeight="1">
      <c r="A116" s="5" t="s">
        <v>219</v>
      </c>
      <c r="B116" s="6">
        <v>45823.0</v>
      </c>
      <c r="C116" s="5" t="s">
        <v>36</v>
      </c>
      <c r="D116" s="5" t="s">
        <v>16</v>
      </c>
      <c r="E116" s="5" t="s">
        <v>117</v>
      </c>
      <c r="F116" s="5" t="s">
        <v>24</v>
      </c>
      <c r="G116" s="5">
        <v>37.0</v>
      </c>
      <c r="H116" s="8">
        <v>59.0</v>
      </c>
      <c r="I116" s="8">
        <f t="shared" si="1"/>
        <v>2183</v>
      </c>
      <c r="J116" s="8">
        <f>ROUND(I116*0.65,2)</f>
        <v>1418.95</v>
      </c>
      <c r="K116" s="8">
        <f t="shared" si="2"/>
        <v>764.05</v>
      </c>
      <c r="L116" s="5">
        <f t="shared" si="3"/>
        <v>6</v>
      </c>
      <c r="M116" s="5" t="str">
        <f t="shared" si="4"/>
        <v>Jun</v>
      </c>
    </row>
    <row r="117" ht="15.75" customHeight="1">
      <c r="A117" s="5" t="s">
        <v>220</v>
      </c>
      <c r="B117" s="6">
        <v>45825.0</v>
      </c>
      <c r="C117" s="5" t="s">
        <v>36</v>
      </c>
      <c r="D117" s="5" t="s">
        <v>20</v>
      </c>
      <c r="E117" s="5" t="s">
        <v>31</v>
      </c>
      <c r="F117" s="5" t="s">
        <v>41</v>
      </c>
      <c r="G117" s="5">
        <v>17.0</v>
      </c>
      <c r="H117" s="8">
        <v>69.0</v>
      </c>
      <c r="I117" s="8">
        <f t="shared" si="1"/>
        <v>1173</v>
      </c>
      <c r="J117" s="8">
        <f>ROUND(I117*0.692,2)</f>
        <v>811.72</v>
      </c>
      <c r="K117" s="8">
        <f t="shared" si="2"/>
        <v>361.28</v>
      </c>
      <c r="L117" s="5">
        <f t="shared" si="3"/>
        <v>6</v>
      </c>
      <c r="M117" s="5" t="str">
        <f t="shared" si="4"/>
        <v>Jun</v>
      </c>
    </row>
    <row r="118" ht="15.75" customHeight="1">
      <c r="A118" s="5" t="s">
        <v>221</v>
      </c>
      <c r="B118" s="6">
        <v>45828.0</v>
      </c>
      <c r="C118" s="5" t="s">
        <v>46</v>
      </c>
      <c r="D118" s="5" t="s">
        <v>18</v>
      </c>
      <c r="E118" s="5" t="s">
        <v>98</v>
      </c>
      <c r="F118" s="5" t="s">
        <v>24</v>
      </c>
      <c r="G118" s="5">
        <v>7.0</v>
      </c>
      <c r="H118" s="8">
        <v>54.0</v>
      </c>
      <c r="I118" s="8">
        <f t="shared" si="1"/>
        <v>378</v>
      </c>
      <c r="J118" s="8">
        <f>ROUND(I118*0.615,2)</f>
        <v>232.47</v>
      </c>
      <c r="K118" s="8">
        <f t="shared" si="2"/>
        <v>145.53</v>
      </c>
      <c r="L118" s="5">
        <f t="shared" si="3"/>
        <v>6</v>
      </c>
      <c r="M118" s="5" t="str">
        <f t="shared" si="4"/>
        <v>Jun</v>
      </c>
    </row>
    <row r="119" ht="15.75" customHeight="1">
      <c r="A119" s="5" t="s">
        <v>222</v>
      </c>
      <c r="B119" s="6">
        <v>45828.0</v>
      </c>
      <c r="C119" s="5" t="s">
        <v>36</v>
      </c>
      <c r="D119" s="5" t="s">
        <v>16</v>
      </c>
      <c r="E119" s="5" t="s">
        <v>40</v>
      </c>
      <c r="F119" s="5" t="s">
        <v>32</v>
      </c>
      <c r="G119" s="5">
        <v>27.0</v>
      </c>
      <c r="H119" s="8">
        <v>289.0</v>
      </c>
      <c r="I119" s="8">
        <f t="shared" si="1"/>
        <v>7803</v>
      </c>
      <c r="J119" s="8">
        <f>ROUND(I119*0.668,2)</f>
        <v>5212.4</v>
      </c>
      <c r="K119" s="8">
        <f t="shared" si="2"/>
        <v>2590.6</v>
      </c>
      <c r="L119" s="5">
        <f t="shared" si="3"/>
        <v>6</v>
      </c>
      <c r="M119" s="5" t="str">
        <f t="shared" si="4"/>
        <v>Jun</v>
      </c>
    </row>
    <row r="120" ht="15.75" customHeight="1">
      <c r="A120" s="5" t="s">
        <v>223</v>
      </c>
      <c r="B120" s="6">
        <v>45830.0</v>
      </c>
      <c r="C120" s="5" t="s">
        <v>22</v>
      </c>
      <c r="D120" s="5" t="s">
        <v>16</v>
      </c>
      <c r="E120" s="5" t="s">
        <v>47</v>
      </c>
      <c r="F120" s="5" t="s">
        <v>34</v>
      </c>
      <c r="G120" s="5">
        <v>23.0</v>
      </c>
      <c r="H120" s="8">
        <v>45.0</v>
      </c>
      <c r="I120" s="8">
        <f t="shared" si="1"/>
        <v>1035</v>
      </c>
      <c r="J120" s="8">
        <f>ROUND(I120*0.694,2)</f>
        <v>718.29</v>
      </c>
      <c r="K120" s="8">
        <f t="shared" si="2"/>
        <v>316.71</v>
      </c>
      <c r="L120" s="5">
        <f t="shared" si="3"/>
        <v>6</v>
      </c>
      <c r="M120" s="5" t="str">
        <f t="shared" si="4"/>
        <v>Jun</v>
      </c>
    </row>
    <row r="121" ht="15.75" customHeight="1">
      <c r="A121" s="5" t="s">
        <v>224</v>
      </c>
      <c r="B121" s="6">
        <v>45831.0</v>
      </c>
      <c r="C121" s="5" t="s">
        <v>22</v>
      </c>
      <c r="D121" s="5" t="s">
        <v>19</v>
      </c>
      <c r="E121" s="5" t="s">
        <v>56</v>
      </c>
      <c r="F121" s="5" t="s">
        <v>32</v>
      </c>
      <c r="G121" s="5">
        <v>7.0</v>
      </c>
      <c r="H121" s="8">
        <v>199.0</v>
      </c>
      <c r="I121" s="8">
        <f t="shared" si="1"/>
        <v>1393</v>
      </c>
      <c r="J121" s="8">
        <f>ROUND(I121*0.645,2)</f>
        <v>898.49</v>
      </c>
      <c r="K121" s="8">
        <f t="shared" si="2"/>
        <v>494.51</v>
      </c>
      <c r="L121" s="5">
        <f t="shared" si="3"/>
        <v>6</v>
      </c>
      <c r="M121" s="5" t="str">
        <f t="shared" si="4"/>
        <v>Jun</v>
      </c>
    </row>
    <row r="122" ht="15.75" customHeight="1">
      <c r="A122" s="5" t="s">
        <v>225</v>
      </c>
      <c r="B122" s="6">
        <v>45833.0</v>
      </c>
      <c r="C122" s="5" t="s">
        <v>22</v>
      </c>
      <c r="D122" s="5" t="s">
        <v>18</v>
      </c>
      <c r="E122" s="5" t="s">
        <v>112</v>
      </c>
      <c r="F122" s="5" t="s">
        <v>24</v>
      </c>
      <c r="G122" s="5">
        <v>29.0</v>
      </c>
      <c r="H122" s="8">
        <v>89.0</v>
      </c>
      <c r="I122" s="8">
        <f t="shared" si="1"/>
        <v>2581</v>
      </c>
      <c r="J122" s="8">
        <f>ROUND(I122*0.718,2)</f>
        <v>1853.16</v>
      </c>
      <c r="K122" s="8">
        <f t="shared" si="2"/>
        <v>727.84</v>
      </c>
      <c r="L122" s="5">
        <f t="shared" si="3"/>
        <v>6</v>
      </c>
      <c r="M122" s="5" t="str">
        <f t="shared" si="4"/>
        <v>Jun</v>
      </c>
    </row>
    <row r="123" ht="15.75" customHeight="1">
      <c r="A123" s="5" t="s">
        <v>226</v>
      </c>
      <c r="B123" s="6">
        <v>45839.0</v>
      </c>
      <c r="C123" s="5" t="s">
        <v>22</v>
      </c>
      <c r="D123" s="5" t="s">
        <v>20</v>
      </c>
      <c r="E123" s="5" t="s">
        <v>105</v>
      </c>
      <c r="F123" s="5" t="s">
        <v>41</v>
      </c>
      <c r="G123" s="5">
        <v>2.0</v>
      </c>
      <c r="H123" s="8">
        <v>24.0</v>
      </c>
      <c r="I123" s="8">
        <f t="shared" si="1"/>
        <v>48</v>
      </c>
      <c r="J123" s="8">
        <f>ROUND(I123*0.628,2)</f>
        <v>30.14</v>
      </c>
      <c r="K123" s="8">
        <f t="shared" si="2"/>
        <v>17.86</v>
      </c>
      <c r="L123" s="5">
        <f t="shared" si="3"/>
        <v>7</v>
      </c>
      <c r="M123" s="5" t="str">
        <f t="shared" si="4"/>
        <v>Jul</v>
      </c>
    </row>
    <row r="124" ht="15.75" customHeight="1">
      <c r="A124" s="5" t="s">
        <v>227</v>
      </c>
      <c r="B124" s="6">
        <v>45841.0</v>
      </c>
      <c r="C124" s="5" t="s">
        <v>36</v>
      </c>
      <c r="D124" s="5" t="s">
        <v>19</v>
      </c>
      <c r="E124" s="5" t="s">
        <v>56</v>
      </c>
      <c r="F124" s="5" t="s">
        <v>44</v>
      </c>
      <c r="G124" s="5">
        <v>26.0</v>
      </c>
      <c r="H124" s="8">
        <v>199.0</v>
      </c>
      <c r="I124" s="8">
        <f t="shared" si="1"/>
        <v>5174</v>
      </c>
      <c r="J124" s="8">
        <f>ROUND(I124*0.597,2)</f>
        <v>3088.88</v>
      </c>
      <c r="K124" s="8">
        <f t="shared" si="2"/>
        <v>2085.12</v>
      </c>
      <c r="L124" s="5">
        <f t="shared" si="3"/>
        <v>7</v>
      </c>
      <c r="M124" s="5" t="str">
        <f t="shared" si="4"/>
        <v>Jul</v>
      </c>
    </row>
    <row r="125" ht="15.75" customHeight="1">
      <c r="A125" s="5" t="s">
        <v>228</v>
      </c>
      <c r="B125" s="6">
        <v>45841.0</v>
      </c>
      <c r="C125" s="5" t="s">
        <v>30</v>
      </c>
      <c r="D125" s="5" t="s">
        <v>19</v>
      </c>
      <c r="E125" s="5" t="s">
        <v>56</v>
      </c>
      <c r="F125" s="5" t="s">
        <v>24</v>
      </c>
      <c r="G125" s="5">
        <v>17.0</v>
      </c>
      <c r="H125" s="8">
        <v>199.0</v>
      </c>
      <c r="I125" s="8">
        <f t="shared" si="1"/>
        <v>3383</v>
      </c>
      <c r="J125" s="8">
        <f>ROUND(I125*0.559,2)</f>
        <v>1891.1</v>
      </c>
      <c r="K125" s="8">
        <f t="shared" si="2"/>
        <v>1491.9</v>
      </c>
      <c r="L125" s="5">
        <f t="shared" si="3"/>
        <v>7</v>
      </c>
      <c r="M125" s="5" t="str">
        <f t="shared" si="4"/>
        <v>Jul</v>
      </c>
    </row>
    <row r="126" ht="15.75" customHeight="1">
      <c r="A126" s="5" t="s">
        <v>229</v>
      </c>
      <c r="B126" s="6">
        <v>45843.0</v>
      </c>
      <c r="C126" s="5" t="s">
        <v>46</v>
      </c>
      <c r="D126" s="5" t="s">
        <v>18</v>
      </c>
      <c r="E126" s="5" t="s">
        <v>140</v>
      </c>
      <c r="F126" s="5" t="s">
        <v>24</v>
      </c>
      <c r="G126" s="5">
        <v>34.0</v>
      </c>
      <c r="H126" s="8">
        <v>19.0</v>
      </c>
      <c r="I126" s="8">
        <f t="shared" si="1"/>
        <v>646</v>
      </c>
      <c r="J126" s="8">
        <f>ROUND(I126*0.714,2)</f>
        <v>461.24</v>
      </c>
      <c r="K126" s="8">
        <f t="shared" si="2"/>
        <v>184.76</v>
      </c>
      <c r="L126" s="5">
        <f t="shared" si="3"/>
        <v>7</v>
      </c>
      <c r="M126" s="5" t="str">
        <f t="shared" si="4"/>
        <v>Jul</v>
      </c>
    </row>
    <row r="127" ht="15.75" customHeight="1">
      <c r="A127" s="5" t="s">
        <v>230</v>
      </c>
      <c r="B127" s="6">
        <v>45843.0</v>
      </c>
      <c r="C127" s="5" t="s">
        <v>46</v>
      </c>
      <c r="D127" s="5" t="s">
        <v>20</v>
      </c>
      <c r="E127" s="5" t="s">
        <v>105</v>
      </c>
      <c r="F127" s="5" t="s">
        <v>24</v>
      </c>
      <c r="G127" s="5">
        <v>18.0</v>
      </c>
      <c r="H127" s="8">
        <v>24.0</v>
      </c>
      <c r="I127" s="8">
        <f t="shared" si="1"/>
        <v>432</v>
      </c>
      <c r="J127" s="8">
        <f>ROUND(I127*0.643,2)</f>
        <v>277.78</v>
      </c>
      <c r="K127" s="8">
        <f t="shared" si="2"/>
        <v>154.22</v>
      </c>
      <c r="L127" s="5">
        <f t="shared" si="3"/>
        <v>7</v>
      </c>
      <c r="M127" s="5" t="str">
        <f t="shared" si="4"/>
        <v>Jul</v>
      </c>
    </row>
    <row r="128" ht="15.75" customHeight="1">
      <c r="A128" s="5" t="s">
        <v>231</v>
      </c>
      <c r="B128" s="6">
        <v>45843.0</v>
      </c>
      <c r="C128" s="5" t="s">
        <v>22</v>
      </c>
      <c r="D128" s="5" t="s">
        <v>20</v>
      </c>
      <c r="E128" s="5" t="s">
        <v>105</v>
      </c>
      <c r="F128" s="5" t="s">
        <v>24</v>
      </c>
      <c r="G128" s="5">
        <v>28.0</v>
      </c>
      <c r="H128" s="8">
        <v>24.0</v>
      </c>
      <c r="I128" s="8">
        <f t="shared" si="1"/>
        <v>672</v>
      </c>
      <c r="J128" s="8">
        <f>ROUND(I128*0.65,2)</f>
        <v>436.8</v>
      </c>
      <c r="K128" s="8">
        <f t="shared" si="2"/>
        <v>235.2</v>
      </c>
      <c r="L128" s="5">
        <f t="shared" si="3"/>
        <v>7</v>
      </c>
      <c r="M128" s="5" t="str">
        <f t="shared" si="4"/>
        <v>Jul</v>
      </c>
    </row>
    <row r="129" ht="15.75" customHeight="1">
      <c r="A129" s="5" t="s">
        <v>232</v>
      </c>
      <c r="B129" s="6">
        <v>45844.0</v>
      </c>
      <c r="C129" s="5" t="s">
        <v>30</v>
      </c>
      <c r="D129" s="5" t="s">
        <v>20</v>
      </c>
      <c r="E129" s="5" t="s">
        <v>31</v>
      </c>
      <c r="F129" s="5" t="s">
        <v>44</v>
      </c>
      <c r="G129" s="5">
        <v>29.0</v>
      </c>
      <c r="H129" s="8">
        <v>69.0</v>
      </c>
      <c r="I129" s="8">
        <f t="shared" si="1"/>
        <v>2001</v>
      </c>
      <c r="J129" s="8">
        <f>ROUND(I129*0.59,2)</f>
        <v>1180.59</v>
      </c>
      <c r="K129" s="8">
        <f t="shared" si="2"/>
        <v>820.41</v>
      </c>
      <c r="L129" s="5">
        <f t="shared" si="3"/>
        <v>7</v>
      </c>
      <c r="M129" s="5" t="str">
        <f t="shared" si="4"/>
        <v>Jul</v>
      </c>
    </row>
    <row r="130" ht="15.75" customHeight="1">
      <c r="A130" s="5" t="s">
        <v>233</v>
      </c>
      <c r="B130" s="6">
        <v>45845.0</v>
      </c>
      <c r="C130" s="5" t="s">
        <v>36</v>
      </c>
      <c r="D130" s="5" t="s">
        <v>20</v>
      </c>
      <c r="E130" s="5" t="s">
        <v>105</v>
      </c>
      <c r="F130" s="5" t="s">
        <v>38</v>
      </c>
      <c r="G130" s="5">
        <v>10.0</v>
      </c>
      <c r="H130" s="8">
        <v>24.0</v>
      </c>
      <c r="I130" s="8">
        <f t="shared" si="1"/>
        <v>240</v>
      </c>
      <c r="J130" s="8">
        <f>ROUND(I130*0.665,2)</f>
        <v>159.6</v>
      </c>
      <c r="K130" s="8">
        <f t="shared" si="2"/>
        <v>80.4</v>
      </c>
      <c r="L130" s="5">
        <f t="shared" si="3"/>
        <v>7</v>
      </c>
      <c r="M130" s="5" t="str">
        <f t="shared" si="4"/>
        <v>Jul</v>
      </c>
    </row>
    <row r="131" ht="15.75" customHeight="1">
      <c r="A131" s="5" t="s">
        <v>234</v>
      </c>
      <c r="B131" s="6">
        <v>45846.0</v>
      </c>
      <c r="C131" s="5" t="s">
        <v>46</v>
      </c>
      <c r="D131" s="5" t="s">
        <v>20</v>
      </c>
      <c r="E131" s="5" t="s">
        <v>43</v>
      </c>
      <c r="F131" s="5" t="s">
        <v>41</v>
      </c>
      <c r="G131" s="5">
        <v>22.0</v>
      </c>
      <c r="H131" s="8">
        <v>159.0</v>
      </c>
      <c r="I131" s="8">
        <f t="shared" si="1"/>
        <v>3498</v>
      </c>
      <c r="J131" s="8">
        <f>ROUND(I131*0.716,2)</f>
        <v>2504.57</v>
      </c>
      <c r="K131" s="8">
        <f t="shared" si="2"/>
        <v>993.43</v>
      </c>
      <c r="L131" s="5">
        <f t="shared" si="3"/>
        <v>7</v>
      </c>
      <c r="M131" s="5" t="str">
        <f t="shared" si="4"/>
        <v>Jul</v>
      </c>
    </row>
    <row r="132" ht="15.75" customHeight="1">
      <c r="A132" s="5" t="s">
        <v>235</v>
      </c>
      <c r="B132" s="6">
        <v>45847.0</v>
      </c>
      <c r="C132" s="5" t="s">
        <v>46</v>
      </c>
      <c r="D132" s="5" t="s">
        <v>18</v>
      </c>
      <c r="E132" s="5" t="s">
        <v>140</v>
      </c>
      <c r="F132" s="5" t="s">
        <v>44</v>
      </c>
      <c r="G132" s="5">
        <v>7.0</v>
      </c>
      <c r="H132" s="8">
        <v>19.0</v>
      </c>
      <c r="I132" s="8">
        <f t="shared" si="1"/>
        <v>133</v>
      </c>
      <c r="J132" s="8">
        <f>ROUND(I132*0.692,2)</f>
        <v>92.04</v>
      </c>
      <c r="K132" s="8">
        <f t="shared" si="2"/>
        <v>40.96</v>
      </c>
      <c r="L132" s="5">
        <f t="shared" si="3"/>
        <v>7</v>
      </c>
      <c r="M132" s="5" t="str">
        <f t="shared" si="4"/>
        <v>Jul</v>
      </c>
    </row>
    <row r="133" ht="15.75" customHeight="1">
      <c r="A133" s="5" t="s">
        <v>236</v>
      </c>
      <c r="B133" s="6">
        <v>45847.0</v>
      </c>
      <c r="C133" s="5" t="s">
        <v>36</v>
      </c>
      <c r="D133" s="5" t="s">
        <v>20</v>
      </c>
      <c r="E133" s="5" t="s">
        <v>105</v>
      </c>
      <c r="F133" s="5" t="s">
        <v>38</v>
      </c>
      <c r="G133" s="5">
        <v>9.0</v>
      </c>
      <c r="H133" s="8">
        <v>24.0</v>
      </c>
      <c r="I133" s="8">
        <f t="shared" si="1"/>
        <v>216</v>
      </c>
      <c r="J133" s="8">
        <f>ROUND(I133*0.64,2)</f>
        <v>138.24</v>
      </c>
      <c r="K133" s="8">
        <f t="shared" si="2"/>
        <v>77.76</v>
      </c>
      <c r="L133" s="5">
        <f t="shared" si="3"/>
        <v>7</v>
      </c>
      <c r="M133" s="5" t="str">
        <f t="shared" si="4"/>
        <v>Jul</v>
      </c>
    </row>
    <row r="134" ht="15.75" customHeight="1">
      <c r="A134" s="5" t="s">
        <v>237</v>
      </c>
      <c r="B134" s="6">
        <v>45848.0</v>
      </c>
      <c r="C134" s="5" t="s">
        <v>22</v>
      </c>
      <c r="D134" s="5" t="s">
        <v>18</v>
      </c>
      <c r="E134" s="5" t="s">
        <v>140</v>
      </c>
      <c r="F134" s="5" t="s">
        <v>34</v>
      </c>
      <c r="G134" s="5">
        <v>40.0</v>
      </c>
      <c r="H134" s="8">
        <v>19.0</v>
      </c>
      <c r="I134" s="8">
        <f t="shared" si="1"/>
        <v>760</v>
      </c>
      <c r="J134" s="8">
        <f>ROUND(I134*0.7,2)</f>
        <v>532</v>
      </c>
      <c r="K134" s="8">
        <f t="shared" si="2"/>
        <v>228</v>
      </c>
      <c r="L134" s="5">
        <f t="shared" si="3"/>
        <v>7</v>
      </c>
      <c r="M134" s="5" t="str">
        <f t="shared" si="4"/>
        <v>Jul</v>
      </c>
    </row>
    <row r="135" ht="15.75" customHeight="1">
      <c r="A135" s="5" t="s">
        <v>238</v>
      </c>
      <c r="B135" s="6">
        <v>45849.0</v>
      </c>
      <c r="C135" s="5" t="s">
        <v>30</v>
      </c>
      <c r="D135" s="5" t="s">
        <v>20</v>
      </c>
      <c r="E135" s="5" t="s">
        <v>105</v>
      </c>
      <c r="F135" s="5" t="s">
        <v>34</v>
      </c>
      <c r="G135" s="5">
        <v>6.0</v>
      </c>
      <c r="H135" s="8">
        <v>24.0</v>
      </c>
      <c r="I135" s="8">
        <f t="shared" si="1"/>
        <v>144</v>
      </c>
      <c r="J135" s="8">
        <f>ROUND(I135*0.566,2)</f>
        <v>81.5</v>
      </c>
      <c r="K135" s="8">
        <f t="shared" si="2"/>
        <v>62.5</v>
      </c>
      <c r="L135" s="5">
        <f t="shared" si="3"/>
        <v>7</v>
      </c>
      <c r="M135" s="5" t="str">
        <f t="shared" si="4"/>
        <v>Jul</v>
      </c>
    </row>
    <row r="136" ht="15.75" customHeight="1">
      <c r="A136" s="5" t="s">
        <v>239</v>
      </c>
      <c r="B136" s="6">
        <v>45851.0</v>
      </c>
      <c r="C136" s="5" t="s">
        <v>22</v>
      </c>
      <c r="D136" s="5" t="s">
        <v>19</v>
      </c>
      <c r="E136" s="5" t="s">
        <v>94</v>
      </c>
      <c r="F136" s="5" t="s">
        <v>38</v>
      </c>
      <c r="G136" s="5">
        <v>13.0</v>
      </c>
      <c r="H136" s="8">
        <v>29.0</v>
      </c>
      <c r="I136" s="8">
        <f t="shared" si="1"/>
        <v>377</v>
      </c>
      <c r="J136" s="8">
        <f>ROUND(I136*0.67,2)</f>
        <v>252.59</v>
      </c>
      <c r="K136" s="8">
        <f t="shared" si="2"/>
        <v>124.41</v>
      </c>
      <c r="L136" s="5">
        <f t="shared" si="3"/>
        <v>7</v>
      </c>
      <c r="M136" s="5" t="str">
        <f t="shared" si="4"/>
        <v>Jul</v>
      </c>
    </row>
    <row r="137" ht="15.75" customHeight="1">
      <c r="A137" s="5" t="s">
        <v>240</v>
      </c>
      <c r="B137" s="6">
        <v>45853.0</v>
      </c>
      <c r="C137" s="5" t="s">
        <v>46</v>
      </c>
      <c r="D137" s="5" t="s">
        <v>18</v>
      </c>
      <c r="E137" s="5" t="s">
        <v>140</v>
      </c>
      <c r="F137" s="5" t="s">
        <v>34</v>
      </c>
      <c r="G137" s="5">
        <v>9.0</v>
      </c>
      <c r="H137" s="8">
        <v>19.0</v>
      </c>
      <c r="I137" s="8">
        <f t="shared" si="1"/>
        <v>171</v>
      </c>
      <c r="J137" s="8">
        <f>ROUND(I137*0.635,2)</f>
        <v>108.59</v>
      </c>
      <c r="K137" s="8">
        <f t="shared" si="2"/>
        <v>62.41</v>
      </c>
      <c r="L137" s="5">
        <f t="shared" si="3"/>
        <v>7</v>
      </c>
      <c r="M137" s="5" t="str">
        <f t="shared" si="4"/>
        <v>Jul</v>
      </c>
    </row>
    <row r="138" ht="15.75" customHeight="1">
      <c r="A138" s="5" t="s">
        <v>241</v>
      </c>
      <c r="B138" s="6">
        <v>45853.0</v>
      </c>
      <c r="C138" s="5" t="s">
        <v>30</v>
      </c>
      <c r="D138" s="5" t="s">
        <v>20</v>
      </c>
      <c r="E138" s="5" t="s">
        <v>23</v>
      </c>
      <c r="F138" s="5" t="s">
        <v>24</v>
      </c>
      <c r="G138" s="5">
        <v>30.0</v>
      </c>
      <c r="H138" s="8">
        <v>89.0</v>
      </c>
      <c r="I138" s="8">
        <f t="shared" si="1"/>
        <v>2670</v>
      </c>
      <c r="J138" s="8">
        <f>ROUND(I138*0.658,2)</f>
        <v>1756.86</v>
      </c>
      <c r="K138" s="8">
        <f t="shared" si="2"/>
        <v>913.14</v>
      </c>
      <c r="L138" s="5">
        <f t="shared" si="3"/>
        <v>7</v>
      </c>
      <c r="M138" s="5" t="str">
        <f t="shared" si="4"/>
        <v>Jul</v>
      </c>
    </row>
    <row r="139" ht="15.75" customHeight="1">
      <c r="A139" s="5" t="s">
        <v>242</v>
      </c>
      <c r="B139" s="6">
        <v>45854.0</v>
      </c>
      <c r="C139" s="5" t="s">
        <v>30</v>
      </c>
      <c r="D139" s="5" t="s">
        <v>18</v>
      </c>
      <c r="E139" s="5" t="s">
        <v>112</v>
      </c>
      <c r="F139" s="5" t="s">
        <v>32</v>
      </c>
      <c r="G139" s="5">
        <v>27.0</v>
      </c>
      <c r="H139" s="8">
        <v>89.0</v>
      </c>
      <c r="I139" s="8">
        <f t="shared" si="1"/>
        <v>2403</v>
      </c>
      <c r="J139" s="8">
        <f>ROUND(I139*0.608,2)</f>
        <v>1461.02</v>
      </c>
      <c r="K139" s="8">
        <f t="shared" si="2"/>
        <v>941.98</v>
      </c>
      <c r="L139" s="5">
        <f t="shared" si="3"/>
        <v>7</v>
      </c>
      <c r="M139" s="5" t="str">
        <f t="shared" si="4"/>
        <v>Jul</v>
      </c>
    </row>
    <row r="140" ht="15.75" customHeight="1">
      <c r="A140" s="5" t="s">
        <v>243</v>
      </c>
      <c r="B140" s="6">
        <v>45855.0</v>
      </c>
      <c r="C140" s="5" t="s">
        <v>36</v>
      </c>
      <c r="D140" s="5" t="s">
        <v>19</v>
      </c>
      <c r="E140" s="5" t="s">
        <v>51</v>
      </c>
      <c r="F140" s="5" t="s">
        <v>32</v>
      </c>
      <c r="G140" s="5">
        <v>6.0</v>
      </c>
      <c r="H140" s="8">
        <v>74.0</v>
      </c>
      <c r="I140" s="8">
        <f t="shared" si="1"/>
        <v>444</v>
      </c>
      <c r="J140" s="8">
        <f>ROUND(I140*0.649,2)</f>
        <v>288.16</v>
      </c>
      <c r="K140" s="8">
        <f t="shared" si="2"/>
        <v>155.84</v>
      </c>
      <c r="L140" s="5">
        <f t="shared" si="3"/>
        <v>7</v>
      </c>
      <c r="M140" s="5" t="str">
        <f t="shared" si="4"/>
        <v>Jul</v>
      </c>
    </row>
    <row r="141" ht="15.75" customHeight="1">
      <c r="A141" s="5" t="s">
        <v>244</v>
      </c>
      <c r="B141" s="6">
        <v>45857.0</v>
      </c>
      <c r="C141" s="5" t="s">
        <v>36</v>
      </c>
      <c r="D141" s="5" t="s">
        <v>20</v>
      </c>
      <c r="E141" s="5" t="s">
        <v>31</v>
      </c>
      <c r="F141" s="5" t="s">
        <v>41</v>
      </c>
      <c r="G141" s="5">
        <v>36.0</v>
      </c>
      <c r="H141" s="8">
        <v>69.0</v>
      </c>
      <c r="I141" s="8">
        <f t="shared" si="1"/>
        <v>2484</v>
      </c>
      <c r="J141" s="8">
        <f>ROUND(I141*0.663,2)</f>
        <v>1646.89</v>
      </c>
      <c r="K141" s="8">
        <f t="shared" si="2"/>
        <v>837.11</v>
      </c>
      <c r="L141" s="5">
        <f t="shared" si="3"/>
        <v>7</v>
      </c>
      <c r="M141" s="5" t="str">
        <f t="shared" si="4"/>
        <v>Jul</v>
      </c>
    </row>
    <row r="142" ht="15.75" customHeight="1">
      <c r="A142" s="5" t="s">
        <v>245</v>
      </c>
      <c r="B142" s="6">
        <v>45857.0</v>
      </c>
      <c r="C142" s="5" t="s">
        <v>46</v>
      </c>
      <c r="D142" s="5" t="s">
        <v>18</v>
      </c>
      <c r="E142" s="5" t="s">
        <v>140</v>
      </c>
      <c r="F142" s="5" t="s">
        <v>24</v>
      </c>
      <c r="G142" s="5">
        <v>18.0</v>
      </c>
      <c r="H142" s="8">
        <v>19.0</v>
      </c>
      <c r="I142" s="8">
        <f t="shared" si="1"/>
        <v>342</v>
      </c>
      <c r="J142" s="8">
        <f>ROUND(I142*0.624,2)</f>
        <v>213.41</v>
      </c>
      <c r="K142" s="8">
        <f t="shared" si="2"/>
        <v>128.59</v>
      </c>
      <c r="L142" s="5">
        <f t="shared" si="3"/>
        <v>7</v>
      </c>
      <c r="M142" s="5" t="str">
        <f t="shared" si="4"/>
        <v>Jul</v>
      </c>
    </row>
    <row r="143" ht="15.75" customHeight="1">
      <c r="A143" s="5" t="s">
        <v>246</v>
      </c>
      <c r="B143" s="6">
        <v>45861.0</v>
      </c>
      <c r="C143" s="5" t="s">
        <v>36</v>
      </c>
      <c r="D143" s="5" t="s">
        <v>19</v>
      </c>
      <c r="E143" s="5" t="s">
        <v>51</v>
      </c>
      <c r="F143" s="5" t="s">
        <v>34</v>
      </c>
      <c r="G143" s="5">
        <v>2.0</v>
      </c>
      <c r="H143" s="8">
        <v>74.0</v>
      </c>
      <c r="I143" s="8">
        <f t="shared" si="1"/>
        <v>148</v>
      </c>
      <c r="J143" s="8">
        <f>ROUND(I143*0.675,2)</f>
        <v>99.9</v>
      </c>
      <c r="K143" s="8">
        <f t="shared" si="2"/>
        <v>48.1</v>
      </c>
      <c r="L143" s="5">
        <f t="shared" si="3"/>
        <v>7</v>
      </c>
      <c r="M143" s="5" t="str">
        <f t="shared" si="4"/>
        <v>Jul</v>
      </c>
    </row>
    <row r="144" ht="15.75" customHeight="1">
      <c r="A144" s="5" t="s">
        <v>247</v>
      </c>
      <c r="B144" s="6">
        <v>45862.0</v>
      </c>
      <c r="C144" s="5" t="s">
        <v>46</v>
      </c>
      <c r="D144" s="5" t="s">
        <v>16</v>
      </c>
      <c r="E144" s="5" t="s">
        <v>101</v>
      </c>
      <c r="F144" s="5" t="s">
        <v>41</v>
      </c>
      <c r="G144" s="5">
        <v>21.0</v>
      </c>
      <c r="H144" s="8">
        <v>179.0</v>
      </c>
      <c r="I144" s="8">
        <f t="shared" si="1"/>
        <v>3759</v>
      </c>
      <c r="J144" s="8">
        <f>ROUND(I144*0.663,2)</f>
        <v>2492.22</v>
      </c>
      <c r="K144" s="8">
        <f t="shared" si="2"/>
        <v>1266.78</v>
      </c>
      <c r="L144" s="5">
        <f t="shared" si="3"/>
        <v>7</v>
      </c>
      <c r="M144" s="5" t="str">
        <f t="shared" si="4"/>
        <v>Jul</v>
      </c>
    </row>
    <row r="145" ht="15.75" customHeight="1">
      <c r="A145" s="5" t="s">
        <v>248</v>
      </c>
      <c r="B145" s="6">
        <v>45863.0</v>
      </c>
      <c r="C145" s="5" t="s">
        <v>36</v>
      </c>
      <c r="D145" s="5" t="s">
        <v>16</v>
      </c>
      <c r="E145" s="5" t="s">
        <v>40</v>
      </c>
      <c r="F145" s="5" t="s">
        <v>38</v>
      </c>
      <c r="G145" s="5">
        <v>21.0</v>
      </c>
      <c r="H145" s="8">
        <v>289.0</v>
      </c>
      <c r="I145" s="8">
        <f t="shared" si="1"/>
        <v>6069</v>
      </c>
      <c r="J145" s="8">
        <f>ROUND(I145*0.586,2)</f>
        <v>3556.43</v>
      </c>
      <c r="K145" s="8">
        <f t="shared" si="2"/>
        <v>2512.57</v>
      </c>
      <c r="L145" s="5">
        <f t="shared" si="3"/>
        <v>7</v>
      </c>
      <c r="M145" s="5" t="str">
        <f t="shared" si="4"/>
        <v>Jul</v>
      </c>
    </row>
    <row r="146" ht="15.75" customHeight="1">
      <c r="A146" s="5" t="s">
        <v>249</v>
      </c>
      <c r="B146" s="6">
        <v>45865.0</v>
      </c>
      <c r="C146" s="5" t="s">
        <v>30</v>
      </c>
      <c r="D146" s="5" t="s">
        <v>19</v>
      </c>
      <c r="E146" s="5" t="s">
        <v>94</v>
      </c>
      <c r="F146" s="5" t="s">
        <v>41</v>
      </c>
      <c r="G146" s="5">
        <v>36.0</v>
      </c>
      <c r="H146" s="8">
        <v>29.0</v>
      </c>
      <c r="I146" s="8">
        <f t="shared" si="1"/>
        <v>1044</v>
      </c>
      <c r="J146" s="8">
        <f>ROUND(I146*0.64,2)</f>
        <v>668.16</v>
      </c>
      <c r="K146" s="8">
        <f t="shared" si="2"/>
        <v>375.84</v>
      </c>
      <c r="L146" s="5">
        <f t="shared" si="3"/>
        <v>7</v>
      </c>
      <c r="M146" s="5" t="str">
        <f t="shared" si="4"/>
        <v>Jul</v>
      </c>
    </row>
    <row r="147" ht="15.75" customHeight="1">
      <c r="A147" s="5" t="s">
        <v>250</v>
      </c>
      <c r="B147" s="6">
        <v>45865.0</v>
      </c>
      <c r="C147" s="5" t="s">
        <v>22</v>
      </c>
      <c r="D147" s="5" t="s">
        <v>19</v>
      </c>
      <c r="E147" s="5" t="s">
        <v>51</v>
      </c>
      <c r="F147" s="5" t="s">
        <v>38</v>
      </c>
      <c r="G147" s="5">
        <v>30.0</v>
      </c>
      <c r="H147" s="8">
        <v>74.0</v>
      </c>
      <c r="I147" s="8">
        <f t="shared" si="1"/>
        <v>2220</v>
      </c>
      <c r="J147" s="8">
        <f>ROUND(I147*0.691,2)</f>
        <v>1534.02</v>
      </c>
      <c r="K147" s="8">
        <f t="shared" si="2"/>
        <v>685.98</v>
      </c>
      <c r="L147" s="5">
        <f t="shared" si="3"/>
        <v>7</v>
      </c>
      <c r="M147" s="5" t="str">
        <f t="shared" si="4"/>
        <v>Jul</v>
      </c>
    </row>
    <row r="148" ht="15.75" customHeight="1">
      <c r="A148" s="5" t="s">
        <v>251</v>
      </c>
      <c r="B148" s="6">
        <v>45867.0</v>
      </c>
      <c r="C148" s="5" t="s">
        <v>22</v>
      </c>
      <c r="D148" s="5" t="s">
        <v>18</v>
      </c>
      <c r="E148" s="5" t="s">
        <v>98</v>
      </c>
      <c r="F148" s="5" t="s">
        <v>44</v>
      </c>
      <c r="G148" s="5">
        <v>5.0</v>
      </c>
      <c r="H148" s="8">
        <v>54.0</v>
      </c>
      <c r="I148" s="8">
        <f t="shared" si="1"/>
        <v>270</v>
      </c>
      <c r="J148" s="8">
        <f>ROUND(I148*0.626,2)</f>
        <v>169.02</v>
      </c>
      <c r="K148" s="8">
        <f t="shared" si="2"/>
        <v>100.98</v>
      </c>
      <c r="L148" s="5">
        <f t="shared" si="3"/>
        <v>7</v>
      </c>
      <c r="M148" s="5" t="str">
        <f t="shared" si="4"/>
        <v>Jul</v>
      </c>
    </row>
    <row r="149" ht="15.75" customHeight="1">
      <c r="A149" s="5" t="s">
        <v>252</v>
      </c>
      <c r="B149" s="6">
        <v>45873.0</v>
      </c>
      <c r="C149" s="5" t="s">
        <v>22</v>
      </c>
      <c r="D149" s="5" t="s">
        <v>16</v>
      </c>
      <c r="E149" s="5" t="s">
        <v>47</v>
      </c>
      <c r="F149" s="5" t="s">
        <v>41</v>
      </c>
      <c r="G149" s="5">
        <v>24.0</v>
      </c>
      <c r="H149" s="8">
        <v>45.0</v>
      </c>
      <c r="I149" s="8">
        <f t="shared" si="1"/>
        <v>1080</v>
      </c>
      <c r="J149" s="8">
        <f>ROUND(I149*0.637,2)</f>
        <v>687.96</v>
      </c>
      <c r="K149" s="8">
        <f t="shared" si="2"/>
        <v>392.04</v>
      </c>
      <c r="L149" s="5">
        <f t="shared" si="3"/>
        <v>8</v>
      </c>
      <c r="M149" s="5" t="str">
        <f t="shared" si="4"/>
        <v>Aug</v>
      </c>
    </row>
    <row r="150" ht="15.75" customHeight="1">
      <c r="A150" s="5" t="s">
        <v>253</v>
      </c>
      <c r="B150" s="6">
        <v>45875.0</v>
      </c>
      <c r="C150" s="5" t="s">
        <v>36</v>
      </c>
      <c r="D150" s="5" t="s">
        <v>19</v>
      </c>
      <c r="E150" s="5" t="s">
        <v>49</v>
      </c>
      <c r="F150" s="5" t="s">
        <v>32</v>
      </c>
      <c r="G150" s="5">
        <v>20.0</v>
      </c>
      <c r="H150" s="8">
        <v>22.0</v>
      </c>
      <c r="I150" s="8">
        <f t="shared" si="1"/>
        <v>440</v>
      </c>
      <c r="J150" s="8">
        <f>ROUND(I150*0.593,2)</f>
        <v>260.92</v>
      </c>
      <c r="K150" s="8">
        <f t="shared" si="2"/>
        <v>179.08</v>
      </c>
      <c r="L150" s="5">
        <f t="shared" si="3"/>
        <v>8</v>
      </c>
      <c r="M150" s="5" t="str">
        <f t="shared" si="4"/>
        <v>Aug</v>
      </c>
    </row>
    <row r="151" ht="15.75" customHeight="1">
      <c r="A151" s="5" t="s">
        <v>254</v>
      </c>
      <c r="B151" s="6">
        <v>45878.0</v>
      </c>
      <c r="C151" s="5" t="s">
        <v>30</v>
      </c>
      <c r="D151" s="5" t="s">
        <v>16</v>
      </c>
      <c r="E151" s="5" t="s">
        <v>101</v>
      </c>
      <c r="F151" s="5" t="s">
        <v>32</v>
      </c>
      <c r="G151" s="5">
        <v>3.0</v>
      </c>
      <c r="H151" s="8">
        <v>179.0</v>
      </c>
      <c r="I151" s="8">
        <f t="shared" si="1"/>
        <v>537</v>
      </c>
      <c r="J151" s="8">
        <f>ROUND(I151*0.703,2)</f>
        <v>377.51</v>
      </c>
      <c r="K151" s="8">
        <f t="shared" si="2"/>
        <v>159.49</v>
      </c>
      <c r="L151" s="5">
        <f t="shared" si="3"/>
        <v>8</v>
      </c>
      <c r="M151" s="5" t="str">
        <f t="shared" si="4"/>
        <v>Aug</v>
      </c>
    </row>
    <row r="152" ht="15.75" customHeight="1">
      <c r="A152" s="5" t="s">
        <v>255</v>
      </c>
      <c r="B152" s="6">
        <v>45882.0</v>
      </c>
      <c r="C152" s="5" t="s">
        <v>36</v>
      </c>
      <c r="D152" s="5" t="s">
        <v>16</v>
      </c>
      <c r="E152" s="5" t="s">
        <v>101</v>
      </c>
      <c r="F152" s="5" t="s">
        <v>44</v>
      </c>
      <c r="G152" s="5">
        <v>7.0</v>
      </c>
      <c r="H152" s="8">
        <v>179.0</v>
      </c>
      <c r="I152" s="8">
        <f t="shared" si="1"/>
        <v>1253</v>
      </c>
      <c r="J152" s="8">
        <f>ROUND(I152*0.71,2)</f>
        <v>889.63</v>
      </c>
      <c r="K152" s="8">
        <f t="shared" si="2"/>
        <v>363.37</v>
      </c>
      <c r="L152" s="5">
        <f t="shared" si="3"/>
        <v>8</v>
      </c>
      <c r="M152" s="5" t="str">
        <f t="shared" si="4"/>
        <v>Aug</v>
      </c>
    </row>
    <row r="153" ht="15.75" customHeight="1">
      <c r="A153" s="5" t="s">
        <v>256</v>
      </c>
      <c r="B153" s="6">
        <v>45884.0</v>
      </c>
      <c r="C153" s="5" t="s">
        <v>36</v>
      </c>
      <c r="D153" s="5" t="s">
        <v>20</v>
      </c>
      <c r="E153" s="5" t="s">
        <v>31</v>
      </c>
      <c r="F153" s="5" t="s">
        <v>38</v>
      </c>
      <c r="G153" s="5">
        <v>40.0</v>
      </c>
      <c r="H153" s="8">
        <v>69.0</v>
      </c>
      <c r="I153" s="8">
        <f t="shared" si="1"/>
        <v>2760</v>
      </c>
      <c r="J153" s="8">
        <f>ROUND(I153*0.56,2)</f>
        <v>1545.6</v>
      </c>
      <c r="K153" s="8">
        <f t="shared" si="2"/>
        <v>1214.4</v>
      </c>
      <c r="L153" s="5">
        <f t="shared" si="3"/>
        <v>8</v>
      </c>
      <c r="M153" s="5" t="str">
        <f t="shared" si="4"/>
        <v>Aug</v>
      </c>
    </row>
    <row r="154" ht="15.75" customHeight="1">
      <c r="A154" s="5" t="s">
        <v>257</v>
      </c>
      <c r="B154" s="6">
        <v>45884.0</v>
      </c>
      <c r="C154" s="5" t="s">
        <v>36</v>
      </c>
      <c r="D154" s="5" t="s">
        <v>19</v>
      </c>
      <c r="E154" s="5" t="s">
        <v>49</v>
      </c>
      <c r="F154" s="5" t="s">
        <v>44</v>
      </c>
      <c r="G154" s="5">
        <v>17.0</v>
      </c>
      <c r="H154" s="8">
        <v>22.0</v>
      </c>
      <c r="I154" s="8">
        <f t="shared" si="1"/>
        <v>374</v>
      </c>
      <c r="J154" s="8">
        <f>ROUND(I154*0.628,2)</f>
        <v>234.87</v>
      </c>
      <c r="K154" s="8">
        <f t="shared" si="2"/>
        <v>139.13</v>
      </c>
      <c r="L154" s="5">
        <f t="shared" si="3"/>
        <v>8</v>
      </c>
      <c r="M154" s="5" t="str">
        <f t="shared" si="4"/>
        <v>Aug</v>
      </c>
    </row>
    <row r="155" ht="15.75" customHeight="1">
      <c r="A155" s="5" t="s">
        <v>258</v>
      </c>
      <c r="B155" s="6">
        <v>45884.0</v>
      </c>
      <c r="C155" s="5" t="s">
        <v>46</v>
      </c>
      <c r="D155" s="5" t="s">
        <v>19</v>
      </c>
      <c r="E155" s="5" t="s">
        <v>51</v>
      </c>
      <c r="F155" s="5" t="s">
        <v>38</v>
      </c>
      <c r="G155" s="5">
        <v>8.0</v>
      </c>
      <c r="H155" s="8">
        <v>74.0</v>
      </c>
      <c r="I155" s="8">
        <f t="shared" si="1"/>
        <v>592</v>
      </c>
      <c r="J155" s="8">
        <f>ROUND(I155*0.609,2)</f>
        <v>360.53</v>
      </c>
      <c r="K155" s="8">
        <f t="shared" si="2"/>
        <v>231.47</v>
      </c>
      <c r="L155" s="5">
        <f t="shared" si="3"/>
        <v>8</v>
      </c>
      <c r="M155" s="5" t="str">
        <f t="shared" si="4"/>
        <v>Aug</v>
      </c>
    </row>
    <row r="156" ht="15.75" customHeight="1">
      <c r="A156" s="5" t="s">
        <v>259</v>
      </c>
      <c r="B156" s="6">
        <v>45884.0</v>
      </c>
      <c r="C156" s="5" t="s">
        <v>36</v>
      </c>
      <c r="D156" s="5" t="s">
        <v>19</v>
      </c>
      <c r="E156" s="5" t="s">
        <v>56</v>
      </c>
      <c r="F156" s="5" t="s">
        <v>32</v>
      </c>
      <c r="G156" s="5">
        <v>33.0</v>
      </c>
      <c r="H156" s="8">
        <v>199.0</v>
      </c>
      <c r="I156" s="8">
        <f t="shared" si="1"/>
        <v>6567</v>
      </c>
      <c r="J156" s="8">
        <f>ROUND(I156*0.563,2)</f>
        <v>3697.22</v>
      </c>
      <c r="K156" s="8">
        <f t="shared" si="2"/>
        <v>2869.78</v>
      </c>
      <c r="L156" s="5">
        <f t="shared" si="3"/>
        <v>8</v>
      </c>
      <c r="M156" s="5" t="str">
        <f t="shared" si="4"/>
        <v>Aug</v>
      </c>
    </row>
    <row r="157" ht="15.75" customHeight="1">
      <c r="A157" s="5" t="s">
        <v>260</v>
      </c>
      <c r="B157" s="6">
        <v>45885.0</v>
      </c>
      <c r="C157" s="5" t="s">
        <v>30</v>
      </c>
      <c r="D157" s="5" t="s">
        <v>19</v>
      </c>
      <c r="E157" s="5" t="s">
        <v>56</v>
      </c>
      <c r="F157" s="5" t="s">
        <v>44</v>
      </c>
      <c r="G157" s="5">
        <v>24.0</v>
      </c>
      <c r="H157" s="8">
        <v>199.0</v>
      </c>
      <c r="I157" s="8">
        <f t="shared" si="1"/>
        <v>4776</v>
      </c>
      <c r="J157" s="8">
        <f>ROUND(I157*0.643,2)</f>
        <v>3070.97</v>
      </c>
      <c r="K157" s="8">
        <f t="shared" si="2"/>
        <v>1705.03</v>
      </c>
      <c r="L157" s="5">
        <f t="shared" si="3"/>
        <v>8</v>
      </c>
      <c r="M157" s="5" t="str">
        <f t="shared" si="4"/>
        <v>Aug</v>
      </c>
    </row>
    <row r="158" ht="15.75" customHeight="1">
      <c r="A158" s="5" t="s">
        <v>261</v>
      </c>
      <c r="B158" s="6">
        <v>45889.0</v>
      </c>
      <c r="C158" s="5" t="s">
        <v>30</v>
      </c>
      <c r="D158" s="5" t="s">
        <v>20</v>
      </c>
      <c r="E158" s="5" t="s">
        <v>105</v>
      </c>
      <c r="F158" s="5" t="s">
        <v>44</v>
      </c>
      <c r="G158" s="5">
        <v>21.0</v>
      </c>
      <c r="H158" s="8">
        <v>24.0</v>
      </c>
      <c r="I158" s="8">
        <f t="shared" si="1"/>
        <v>504</v>
      </c>
      <c r="J158" s="8">
        <f t="shared" ref="J158:J159" si="5">ROUND(I158*0.664,2)</f>
        <v>334.66</v>
      </c>
      <c r="K158" s="8">
        <f t="shared" si="2"/>
        <v>169.34</v>
      </c>
      <c r="L158" s="5">
        <f t="shared" si="3"/>
        <v>8</v>
      </c>
      <c r="M158" s="5" t="str">
        <f t="shared" si="4"/>
        <v>Aug</v>
      </c>
    </row>
    <row r="159" ht="15.75" customHeight="1">
      <c r="A159" s="5" t="s">
        <v>262</v>
      </c>
      <c r="B159" s="6">
        <v>45890.0</v>
      </c>
      <c r="C159" s="5" t="s">
        <v>36</v>
      </c>
      <c r="D159" s="5" t="s">
        <v>18</v>
      </c>
      <c r="E159" s="5" t="s">
        <v>98</v>
      </c>
      <c r="F159" s="5" t="s">
        <v>32</v>
      </c>
      <c r="G159" s="5">
        <v>14.0</v>
      </c>
      <c r="H159" s="8">
        <v>54.0</v>
      </c>
      <c r="I159" s="8">
        <f t="shared" si="1"/>
        <v>756</v>
      </c>
      <c r="J159" s="8">
        <f t="shared" si="5"/>
        <v>501.98</v>
      </c>
      <c r="K159" s="8">
        <f t="shared" si="2"/>
        <v>254.02</v>
      </c>
      <c r="L159" s="5">
        <f t="shared" si="3"/>
        <v>8</v>
      </c>
      <c r="M159" s="5" t="str">
        <f t="shared" si="4"/>
        <v>Aug</v>
      </c>
    </row>
    <row r="160" ht="15.75" customHeight="1">
      <c r="A160" s="5" t="s">
        <v>263</v>
      </c>
      <c r="B160" s="6">
        <v>45890.0</v>
      </c>
      <c r="C160" s="5" t="s">
        <v>22</v>
      </c>
      <c r="D160" s="5" t="s">
        <v>18</v>
      </c>
      <c r="E160" s="5" t="s">
        <v>98</v>
      </c>
      <c r="F160" s="5" t="s">
        <v>44</v>
      </c>
      <c r="G160" s="5">
        <v>38.0</v>
      </c>
      <c r="H160" s="8">
        <v>54.0</v>
      </c>
      <c r="I160" s="8">
        <f t="shared" si="1"/>
        <v>2052</v>
      </c>
      <c r="J160" s="8">
        <f>ROUND(I160*0.662,2)</f>
        <v>1358.42</v>
      </c>
      <c r="K160" s="8">
        <f t="shared" si="2"/>
        <v>693.58</v>
      </c>
      <c r="L160" s="5">
        <f t="shared" si="3"/>
        <v>8</v>
      </c>
      <c r="M160" s="5" t="str">
        <f t="shared" si="4"/>
        <v>Aug</v>
      </c>
    </row>
    <row r="161" ht="15.75" customHeight="1">
      <c r="A161" s="5" t="s">
        <v>264</v>
      </c>
      <c r="B161" s="6">
        <v>45890.0</v>
      </c>
      <c r="C161" s="5" t="s">
        <v>22</v>
      </c>
      <c r="D161" s="5" t="s">
        <v>18</v>
      </c>
      <c r="E161" s="5" t="s">
        <v>112</v>
      </c>
      <c r="F161" s="5" t="s">
        <v>34</v>
      </c>
      <c r="G161" s="5">
        <v>22.0</v>
      </c>
      <c r="H161" s="8">
        <v>89.0</v>
      </c>
      <c r="I161" s="8">
        <f t="shared" si="1"/>
        <v>1958</v>
      </c>
      <c r="J161" s="8">
        <f>ROUND(I161*0.591,2)</f>
        <v>1157.18</v>
      </c>
      <c r="K161" s="8">
        <f t="shared" si="2"/>
        <v>800.82</v>
      </c>
      <c r="L161" s="5">
        <f t="shared" si="3"/>
        <v>8</v>
      </c>
      <c r="M161" s="5" t="str">
        <f t="shared" si="4"/>
        <v>Aug</v>
      </c>
    </row>
    <row r="162" ht="15.75" customHeight="1">
      <c r="A162" s="5" t="s">
        <v>265</v>
      </c>
      <c r="B162" s="6">
        <v>45893.0</v>
      </c>
      <c r="C162" s="5" t="s">
        <v>36</v>
      </c>
      <c r="D162" s="5" t="s">
        <v>16</v>
      </c>
      <c r="E162" s="5" t="s">
        <v>47</v>
      </c>
      <c r="F162" s="5" t="s">
        <v>32</v>
      </c>
      <c r="G162" s="5">
        <v>35.0</v>
      </c>
      <c r="H162" s="8">
        <v>45.0</v>
      </c>
      <c r="I162" s="8">
        <f t="shared" si="1"/>
        <v>1575</v>
      </c>
      <c r="J162" s="8">
        <f>ROUND(I162*0.577,2)</f>
        <v>908.78</v>
      </c>
      <c r="K162" s="8">
        <f t="shared" si="2"/>
        <v>666.22</v>
      </c>
      <c r="L162" s="5">
        <f t="shared" si="3"/>
        <v>8</v>
      </c>
      <c r="M162" s="5" t="str">
        <f t="shared" si="4"/>
        <v>Aug</v>
      </c>
    </row>
    <row r="163" ht="15.75" customHeight="1">
      <c r="A163" s="5" t="s">
        <v>266</v>
      </c>
      <c r="B163" s="6">
        <v>45894.0</v>
      </c>
      <c r="C163" s="5" t="s">
        <v>30</v>
      </c>
      <c r="D163" s="5" t="s">
        <v>16</v>
      </c>
      <c r="E163" s="5" t="s">
        <v>101</v>
      </c>
      <c r="F163" s="5" t="s">
        <v>41</v>
      </c>
      <c r="G163" s="5">
        <v>21.0</v>
      </c>
      <c r="H163" s="8">
        <v>179.0</v>
      </c>
      <c r="I163" s="8">
        <f t="shared" si="1"/>
        <v>3759</v>
      </c>
      <c r="J163" s="8">
        <f>ROUND(I163*0.586,2)</f>
        <v>2202.77</v>
      </c>
      <c r="K163" s="8">
        <f t="shared" si="2"/>
        <v>1556.23</v>
      </c>
      <c r="L163" s="5">
        <f t="shared" si="3"/>
        <v>8</v>
      </c>
      <c r="M163" s="5" t="str">
        <f t="shared" si="4"/>
        <v>Aug</v>
      </c>
    </row>
    <row r="164" ht="15.75" customHeight="1">
      <c r="A164" s="5" t="s">
        <v>267</v>
      </c>
      <c r="B164" s="6">
        <v>45894.0</v>
      </c>
      <c r="C164" s="5" t="s">
        <v>46</v>
      </c>
      <c r="D164" s="5" t="s">
        <v>16</v>
      </c>
      <c r="E164" s="5" t="s">
        <v>117</v>
      </c>
      <c r="F164" s="5" t="s">
        <v>32</v>
      </c>
      <c r="G164" s="5">
        <v>19.0</v>
      </c>
      <c r="H164" s="8">
        <v>59.0</v>
      </c>
      <c r="I164" s="8">
        <f t="shared" si="1"/>
        <v>1121</v>
      </c>
      <c r="J164" s="8">
        <f>ROUND(I164*0.563,2)</f>
        <v>631.12</v>
      </c>
      <c r="K164" s="8">
        <f t="shared" si="2"/>
        <v>489.88</v>
      </c>
      <c r="L164" s="5">
        <f t="shared" si="3"/>
        <v>8</v>
      </c>
      <c r="M164" s="5" t="str">
        <f t="shared" si="4"/>
        <v>Aug</v>
      </c>
    </row>
    <row r="165" ht="15.75" customHeight="1">
      <c r="A165" s="5" t="s">
        <v>268</v>
      </c>
      <c r="B165" s="6">
        <v>45894.0</v>
      </c>
      <c r="C165" s="5" t="s">
        <v>36</v>
      </c>
      <c r="D165" s="5" t="s">
        <v>20</v>
      </c>
      <c r="E165" s="5" t="s">
        <v>43</v>
      </c>
      <c r="F165" s="5" t="s">
        <v>24</v>
      </c>
      <c r="G165" s="5">
        <v>13.0</v>
      </c>
      <c r="H165" s="8">
        <v>159.0</v>
      </c>
      <c r="I165" s="8">
        <f t="shared" si="1"/>
        <v>2067</v>
      </c>
      <c r="J165" s="8">
        <f>ROUND(I165*0.686,2)</f>
        <v>1417.96</v>
      </c>
      <c r="K165" s="8">
        <f t="shared" si="2"/>
        <v>649.04</v>
      </c>
      <c r="L165" s="5">
        <f t="shared" si="3"/>
        <v>8</v>
      </c>
      <c r="M165" s="5" t="str">
        <f t="shared" si="4"/>
        <v>Aug</v>
      </c>
    </row>
    <row r="166" ht="15.75" customHeight="1">
      <c r="A166" s="5" t="s">
        <v>269</v>
      </c>
      <c r="B166" s="6">
        <v>45898.0</v>
      </c>
      <c r="C166" s="5" t="s">
        <v>22</v>
      </c>
      <c r="D166" s="5" t="s">
        <v>16</v>
      </c>
      <c r="E166" s="5" t="s">
        <v>101</v>
      </c>
      <c r="F166" s="5" t="s">
        <v>24</v>
      </c>
      <c r="G166" s="5">
        <v>5.0</v>
      </c>
      <c r="H166" s="8">
        <v>179.0</v>
      </c>
      <c r="I166" s="8">
        <f t="shared" si="1"/>
        <v>895</v>
      </c>
      <c r="J166" s="8">
        <f>ROUND(I166*0.683,2)</f>
        <v>611.29</v>
      </c>
      <c r="K166" s="8">
        <f t="shared" si="2"/>
        <v>283.71</v>
      </c>
      <c r="L166" s="5">
        <f t="shared" si="3"/>
        <v>8</v>
      </c>
      <c r="M166" s="5" t="str">
        <f t="shared" si="4"/>
        <v>Aug</v>
      </c>
    </row>
    <row r="167" ht="15.75" customHeight="1">
      <c r="A167" s="5" t="s">
        <v>270</v>
      </c>
      <c r="B167" s="6">
        <v>45898.0</v>
      </c>
      <c r="C167" s="5" t="s">
        <v>36</v>
      </c>
      <c r="D167" s="5" t="s">
        <v>16</v>
      </c>
      <c r="E167" s="5" t="s">
        <v>40</v>
      </c>
      <c r="F167" s="5" t="s">
        <v>32</v>
      </c>
      <c r="G167" s="5">
        <v>19.0</v>
      </c>
      <c r="H167" s="8">
        <v>289.0</v>
      </c>
      <c r="I167" s="8">
        <f t="shared" si="1"/>
        <v>5491</v>
      </c>
      <c r="J167" s="8">
        <f>ROUND(I167*0.67,2)</f>
        <v>3678.97</v>
      </c>
      <c r="K167" s="8">
        <f t="shared" si="2"/>
        <v>1812.03</v>
      </c>
      <c r="L167" s="5">
        <f t="shared" si="3"/>
        <v>8</v>
      </c>
      <c r="M167" s="5" t="str">
        <f t="shared" si="4"/>
        <v>Aug</v>
      </c>
    </row>
    <row r="168" ht="15.75" customHeight="1">
      <c r="A168" s="5" t="s">
        <v>271</v>
      </c>
      <c r="B168" s="6">
        <v>45899.0</v>
      </c>
      <c r="C168" s="5" t="s">
        <v>30</v>
      </c>
      <c r="D168" s="5" t="s">
        <v>20</v>
      </c>
      <c r="E168" s="5" t="s">
        <v>43</v>
      </c>
      <c r="F168" s="5" t="s">
        <v>38</v>
      </c>
      <c r="G168" s="5">
        <v>1.0</v>
      </c>
      <c r="H168" s="8">
        <v>159.0</v>
      </c>
      <c r="I168" s="8">
        <f t="shared" si="1"/>
        <v>159</v>
      </c>
      <c r="J168" s="8">
        <f>ROUND(I168*0.704,2)</f>
        <v>111.94</v>
      </c>
      <c r="K168" s="8">
        <f t="shared" si="2"/>
        <v>47.06</v>
      </c>
      <c r="L168" s="5">
        <f t="shared" si="3"/>
        <v>8</v>
      </c>
      <c r="M168" s="5" t="str">
        <f t="shared" si="4"/>
        <v>Aug</v>
      </c>
    </row>
    <row r="169" ht="15.75" customHeight="1">
      <c r="A169" s="5" t="s">
        <v>272</v>
      </c>
      <c r="B169" s="6">
        <v>45901.0</v>
      </c>
      <c r="C169" s="5" t="s">
        <v>30</v>
      </c>
      <c r="D169" s="5" t="s">
        <v>19</v>
      </c>
      <c r="E169" s="5" t="s">
        <v>49</v>
      </c>
      <c r="F169" s="5" t="s">
        <v>24</v>
      </c>
      <c r="G169" s="5">
        <v>35.0</v>
      </c>
      <c r="H169" s="8">
        <v>22.0</v>
      </c>
      <c r="I169" s="8">
        <f t="shared" si="1"/>
        <v>770</v>
      </c>
      <c r="J169" s="8">
        <f>ROUND(I169*0.678,2)</f>
        <v>522.06</v>
      </c>
      <c r="K169" s="8">
        <f t="shared" si="2"/>
        <v>247.94</v>
      </c>
      <c r="L169" s="5">
        <f t="shared" si="3"/>
        <v>9</v>
      </c>
      <c r="M169" s="5" t="str">
        <f t="shared" si="4"/>
        <v>Sep</v>
      </c>
    </row>
    <row r="170" ht="15.75" customHeight="1">
      <c r="A170" s="5" t="s">
        <v>273</v>
      </c>
      <c r="B170" s="6">
        <v>45901.0</v>
      </c>
      <c r="C170" s="5" t="s">
        <v>46</v>
      </c>
      <c r="D170" s="5" t="s">
        <v>19</v>
      </c>
      <c r="E170" s="5" t="s">
        <v>51</v>
      </c>
      <c r="F170" s="5" t="s">
        <v>44</v>
      </c>
      <c r="G170" s="5">
        <v>18.0</v>
      </c>
      <c r="H170" s="8">
        <v>74.0</v>
      </c>
      <c r="I170" s="8">
        <f t="shared" si="1"/>
        <v>1332</v>
      </c>
      <c r="J170" s="8">
        <f>ROUND(I170*0.68,2)</f>
        <v>905.76</v>
      </c>
      <c r="K170" s="8">
        <f t="shared" si="2"/>
        <v>426.24</v>
      </c>
      <c r="L170" s="5">
        <f t="shared" si="3"/>
        <v>9</v>
      </c>
      <c r="M170" s="5" t="str">
        <f t="shared" si="4"/>
        <v>Sep</v>
      </c>
    </row>
    <row r="171" ht="15.75" customHeight="1">
      <c r="A171" s="5" t="s">
        <v>274</v>
      </c>
      <c r="B171" s="6">
        <v>45902.0</v>
      </c>
      <c r="C171" s="5" t="s">
        <v>22</v>
      </c>
      <c r="D171" s="5" t="s">
        <v>16</v>
      </c>
      <c r="E171" s="5" t="s">
        <v>47</v>
      </c>
      <c r="F171" s="5" t="s">
        <v>41</v>
      </c>
      <c r="G171" s="5">
        <v>5.0</v>
      </c>
      <c r="H171" s="8">
        <v>45.0</v>
      </c>
      <c r="I171" s="8">
        <f t="shared" si="1"/>
        <v>225</v>
      </c>
      <c r="J171" s="8">
        <f>ROUND(I171*0.648,2)</f>
        <v>145.8</v>
      </c>
      <c r="K171" s="8">
        <f t="shared" si="2"/>
        <v>79.2</v>
      </c>
      <c r="L171" s="5">
        <f t="shared" si="3"/>
        <v>9</v>
      </c>
      <c r="M171" s="5" t="str">
        <f t="shared" si="4"/>
        <v>Sep</v>
      </c>
    </row>
    <row r="172" ht="15.75" customHeight="1">
      <c r="A172" s="5" t="s">
        <v>275</v>
      </c>
      <c r="B172" s="6">
        <v>45903.0</v>
      </c>
      <c r="C172" s="5" t="s">
        <v>46</v>
      </c>
      <c r="D172" s="5" t="s">
        <v>19</v>
      </c>
      <c r="E172" s="5" t="s">
        <v>51</v>
      </c>
      <c r="F172" s="5" t="s">
        <v>34</v>
      </c>
      <c r="G172" s="5">
        <v>17.0</v>
      </c>
      <c r="H172" s="8">
        <v>74.0</v>
      </c>
      <c r="I172" s="8">
        <f t="shared" si="1"/>
        <v>1258</v>
      </c>
      <c r="J172" s="8">
        <f>ROUND(I172*0.71,2)</f>
        <v>893.18</v>
      </c>
      <c r="K172" s="8">
        <f t="shared" si="2"/>
        <v>364.82</v>
      </c>
      <c r="L172" s="5">
        <f t="shared" si="3"/>
        <v>9</v>
      </c>
      <c r="M172" s="5" t="str">
        <f t="shared" si="4"/>
        <v>Sep</v>
      </c>
    </row>
    <row r="173" ht="15.75" customHeight="1">
      <c r="A173" s="5" t="s">
        <v>276</v>
      </c>
      <c r="B173" s="6">
        <v>45906.0</v>
      </c>
      <c r="C173" s="5" t="s">
        <v>46</v>
      </c>
      <c r="D173" s="5" t="s">
        <v>18</v>
      </c>
      <c r="E173" s="5" t="s">
        <v>140</v>
      </c>
      <c r="F173" s="5" t="s">
        <v>34</v>
      </c>
      <c r="G173" s="5">
        <v>11.0</v>
      </c>
      <c r="H173" s="8">
        <v>19.0</v>
      </c>
      <c r="I173" s="8">
        <f t="shared" si="1"/>
        <v>209</v>
      </c>
      <c r="J173" s="8">
        <f>ROUND(I173*0.614,2)</f>
        <v>128.33</v>
      </c>
      <c r="K173" s="8">
        <f t="shared" si="2"/>
        <v>80.67</v>
      </c>
      <c r="L173" s="5">
        <f t="shared" si="3"/>
        <v>9</v>
      </c>
      <c r="M173" s="5" t="str">
        <f t="shared" si="4"/>
        <v>Sep</v>
      </c>
    </row>
    <row r="174" ht="15.75" customHeight="1">
      <c r="A174" s="5" t="s">
        <v>277</v>
      </c>
      <c r="B174" s="6">
        <v>45907.0</v>
      </c>
      <c r="C174" s="5" t="s">
        <v>30</v>
      </c>
      <c r="D174" s="5" t="s">
        <v>18</v>
      </c>
      <c r="E174" s="5" t="s">
        <v>98</v>
      </c>
      <c r="F174" s="5" t="s">
        <v>24</v>
      </c>
      <c r="G174" s="5">
        <v>4.0</v>
      </c>
      <c r="H174" s="8">
        <v>54.0</v>
      </c>
      <c r="I174" s="8">
        <f t="shared" si="1"/>
        <v>216</v>
      </c>
      <c r="J174" s="8">
        <f>ROUND(I174*0.648,2)</f>
        <v>139.97</v>
      </c>
      <c r="K174" s="8">
        <f t="shared" si="2"/>
        <v>76.03</v>
      </c>
      <c r="L174" s="5">
        <f t="shared" si="3"/>
        <v>9</v>
      </c>
      <c r="M174" s="5" t="str">
        <f t="shared" si="4"/>
        <v>Sep</v>
      </c>
    </row>
    <row r="175" ht="15.75" customHeight="1">
      <c r="A175" s="5" t="s">
        <v>278</v>
      </c>
      <c r="B175" s="6">
        <v>45909.0</v>
      </c>
      <c r="C175" s="5" t="s">
        <v>46</v>
      </c>
      <c r="D175" s="5" t="s">
        <v>16</v>
      </c>
      <c r="E175" s="5" t="s">
        <v>117</v>
      </c>
      <c r="F175" s="5" t="s">
        <v>32</v>
      </c>
      <c r="G175" s="5">
        <v>39.0</v>
      </c>
      <c r="H175" s="8">
        <v>59.0</v>
      </c>
      <c r="I175" s="8">
        <f t="shared" si="1"/>
        <v>2301</v>
      </c>
      <c r="J175" s="8">
        <f>ROUND(I175*0.575,2)</f>
        <v>1323.08</v>
      </c>
      <c r="K175" s="8">
        <f t="shared" si="2"/>
        <v>977.92</v>
      </c>
      <c r="L175" s="5">
        <f t="shared" si="3"/>
        <v>9</v>
      </c>
      <c r="M175" s="5" t="str">
        <f t="shared" si="4"/>
        <v>Sep</v>
      </c>
    </row>
    <row r="176" ht="15.75" customHeight="1">
      <c r="A176" s="5" t="s">
        <v>279</v>
      </c>
      <c r="B176" s="6">
        <v>45910.0</v>
      </c>
      <c r="C176" s="5" t="s">
        <v>22</v>
      </c>
      <c r="D176" s="5" t="s">
        <v>16</v>
      </c>
      <c r="E176" s="5" t="s">
        <v>40</v>
      </c>
      <c r="F176" s="5" t="s">
        <v>38</v>
      </c>
      <c r="G176" s="5">
        <v>9.0</v>
      </c>
      <c r="H176" s="8">
        <v>289.0</v>
      </c>
      <c r="I176" s="8">
        <f t="shared" si="1"/>
        <v>2601</v>
      </c>
      <c r="J176" s="8">
        <f>ROUND(I176*0.616,2)</f>
        <v>1602.22</v>
      </c>
      <c r="K176" s="8">
        <f t="shared" si="2"/>
        <v>998.78</v>
      </c>
      <c r="L176" s="5">
        <f t="shared" si="3"/>
        <v>9</v>
      </c>
      <c r="M176" s="5" t="str">
        <f t="shared" si="4"/>
        <v>Sep</v>
      </c>
    </row>
    <row r="177" ht="15.75" customHeight="1">
      <c r="A177" s="5" t="s">
        <v>280</v>
      </c>
      <c r="B177" s="6">
        <v>45912.0</v>
      </c>
      <c r="C177" s="5" t="s">
        <v>46</v>
      </c>
      <c r="D177" s="5" t="s">
        <v>19</v>
      </c>
      <c r="E177" s="5" t="s">
        <v>94</v>
      </c>
      <c r="F177" s="5" t="s">
        <v>34</v>
      </c>
      <c r="G177" s="5">
        <v>28.0</v>
      </c>
      <c r="H177" s="8">
        <v>29.0</v>
      </c>
      <c r="I177" s="8">
        <f t="shared" si="1"/>
        <v>812</v>
      </c>
      <c r="J177" s="8">
        <f>ROUND(I177*0.563,2)</f>
        <v>457.16</v>
      </c>
      <c r="K177" s="8">
        <f t="shared" si="2"/>
        <v>354.84</v>
      </c>
      <c r="L177" s="5">
        <f t="shared" si="3"/>
        <v>9</v>
      </c>
      <c r="M177" s="5" t="str">
        <f t="shared" si="4"/>
        <v>Sep</v>
      </c>
    </row>
    <row r="178" ht="15.75" customHeight="1">
      <c r="A178" s="5" t="s">
        <v>281</v>
      </c>
      <c r="B178" s="6">
        <v>45913.0</v>
      </c>
      <c r="C178" s="5" t="s">
        <v>46</v>
      </c>
      <c r="D178" s="5" t="s">
        <v>20</v>
      </c>
      <c r="E178" s="5" t="s">
        <v>23</v>
      </c>
      <c r="F178" s="5" t="s">
        <v>32</v>
      </c>
      <c r="G178" s="5">
        <v>9.0</v>
      </c>
      <c r="H178" s="8">
        <v>89.0</v>
      </c>
      <c r="I178" s="8">
        <f t="shared" si="1"/>
        <v>801</v>
      </c>
      <c r="J178" s="8">
        <f>ROUND(I178*0.592,2)</f>
        <v>474.19</v>
      </c>
      <c r="K178" s="8">
        <f t="shared" si="2"/>
        <v>326.81</v>
      </c>
      <c r="L178" s="5">
        <f t="shared" si="3"/>
        <v>9</v>
      </c>
      <c r="M178" s="5" t="str">
        <f t="shared" si="4"/>
        <v>Sep</v>
      </c>
    </row>
    <row r="179" ht="15.75" customHeight="1">
      <c r="A179" s="5" t="s">
        <v>282</v>
      </c>
      <c r="B179" s="6">
        <v>45913.0</v>
      </c>
      <c r="C179" s="5" t="s">
        <v>46</v>
      </c>
      <c r="D179" s="5" t="s">
        <v>16</v>
      </c>
      <c r="E179" s="5" t="s">
        <v>101</v>
      </c>
      <c r="F179" s="5" t="s">
        <v>32</v>
      </c>
      <c r="G179" s="5">
        <v>29.0</v>
      </c>
      <c r="H179" s="8">
        <v>179.0</v>
      </c>
      <c r="I179" s="8">
        <f t="shared" si="1"/>
        <v>5191</v>
      </c>
      <c r="J179" s="8">
        <f>ROUND(I179*0.586,2)</f>
        <v>3041.93</v>
      </c>
      <c r="K179" s="8">
        <f t="shared" si="2"/>
        <v>2149.07</v>
      </c>
      <c r="L179" s="5">
        <f t="shared" si="3"/>
        <v>9</v>
      </c>
      <c r="M179" s="5" t="str">
        <f t="shared" si="4"/>
        <v>Sep</v>
      </c>
    </row>
    <row r="180" ht="15.75" customHeight="1">
      <c r="A180" s="5" t="s">
        <v>283</v>
      </c>
      <c r="B180" s="6">
        <v>45916.0</v>
      </c>
      <c r="C180" s="5" t="s">
        <v>22</v>
      </c>
      <c r="D180" s="5" t="s">
        <v>18</v>
      </c>
      <c r="E180" s="5" t="s">
        <v>140</v>
      </c>
      <c r="F180" s="5" t="s">
        <v>24</v>
      </c>
      <c r="G180" s="5">
        <v>29.0</v>
      </c>
      <c r="H180" s="8">
        <v>19.0</v>
      </c>
      <c r="I180" s="8">
        <f t="shared" si="1"/>
        <v>551</v>
      </c>
      <c r="J180" s="8">
        <f>ROUND(I180*0.65,2)</f>
        <v>358.15</v>
      </c>
      <c r="K180" s="8">
        <f t="shared" si="2"/>
        <v>192.85</v>
      </c>
      <c r="L180" s="5">
        <f t="shared" si="3"/>
        <v>9</v>
      </c>
      <c r="M180" s="5" t="str">
        <f t="shared" si="4"/>
        <v>Sep</v>
      </c>
    </row>
    <row r="181" ht="15.75" customHeight="1">
      <c r="A181" s="5" t="s">
        <v>284</v>
      </c>
      <c r="B181" s="6">
        <v>45916.0</v>
      </c>
      <c r="C181" s="5" t="s">
        <v>46</v>
      </c>
      <c r="D181" s="5" t="s">
        <v>16</v>
      </c>
      <c r="E181" s="5" t="s">
        <v>117</v>
      </c>
      <c r="F181" s="5" t="s">
        <v>44</v>
      </c>
      <c r="G181" s="5">
        <v>36.0</v>
      </c>
      <c r="H181" s="8">
        <v>59.0</v>
      </c>
      <c r="I181" s="8">
        <f t="shared" si="1"/>
        <v>2124</v>
      </c>
      <c r="J181" s="8">
        <f>ROUND(I181*0.673,2)</f>
        <v>1429.45</v>
      </c>
      <c r="K181" s="8">
        <f t="shared" si="2"/>
        <v>694.55</v>
      </c>
      <c r="L181" s="5">
        <f t="shared" si="3"/>
        <v>9</v>
      </c>
      <c r="M181" s="5" t="str">
        <f t="shared" si="4"/>
        <v>Sep</v>
      </c>
    </row>
    <row r="182" ht="15.75" customHeight="1">
      <c r="A182" s="5" t="s">
        <v>285</v>
      </c>
      <c r="B182" s="6">
        <v>45917.0</v>
      </c>
      <c r="C182" s="5" t="s">
        <v>36</v>
      </c>
      <c r="D182" s="5" t="s">
        <v>16</v>
      </c>
      <c r="E182" s="5" t="s">
        <v>101</v>
      </c>
      <c r="F182" s="5" t="s">
        <v>44</v>
      </c>
      <c r="G182" s="5">
        <v>20.0</v>
      </c>
      <c r="H182" s="8">
        <v>179.0</v>
      </c>
      <c r="I182" s="8">
        <f t="shared" si="1"/>
        <v>3580</v>
      </c>
      <c r="J182" s="8">
        <f>ROUND(I182*0.692,2)</f>
        <v>2477.36</v>
      </c>
      <c r="K182" s="8">
        <f t="shared" si="2"/>
        <v>1102.64</v>
      </c>
      <c r="L182" s="5">
        <f t="shared" si="3"/>
        <v>9</v>
      </c>
      <c r="M182" s="5" t="str">
        <f t="shared" si="4"/>
        <v>Sep</v>
      </c>
    </row>
    <row r="183" ht="15.75" customHeight="1">
      <c r="A183" s="5" t="s">
        <v>286</v>
      </c>
      <c r="B183" s="6">
        <v>45918.0</v>
      </c>
      <c r="C183" s="5" t="s">
        <v>30</v>
      </c>
      <c r="D183" s="5" t="s">
        <v>16</v>
      </c>
      <c r="E183" s="5" t="s">
        <v>40</v>
      </c>
      <c r="F183" s="5" t="s">
        <v>24</v>
      </c>
      <c r="G183" s="5">
        <v>16.0</v>
      </c>
      <c r="H183" s="8">
        <v>289.0</v>
      </c>
      <c r="I183" s="8">
        <f t="shared" si="1"/>
        <v>4624</v>
      </c>
      <c r="J183" s="8">
        <f>ROUND(I183*0.684,2)</f>
        <v>3162.82</v>
      </c>
      <c r="K183" s="8">
        <f t="shared" si="2"/>
        <v>1461.18</v>
      </c>
      <c r="L183" s="5">
        <f t="shared" si="3"/>
        <v>9</v>
      </c>
      <c r="M183" s="5" t="str">
        <f t="shared" si="4"/>
        <v>Sep</v>
      </c>
    </row>
    <row r="184" ht="15.75" customHeight="1">
      <c r="A184" s="5" t="s">
        <v>287</v>
      </c>
      <c r="B184" s="6">
        <v>45920.0</v>
      </c>
      <c r="C184" s="5" t="s">
        <v>30</v>
      </c>
      <c r="D184" s="5" t="s">
        <v>20</v>
      </c>
      <c r="E184" s="5" t="s">
        <v>105</v>
      </c>
      <c r="F184" s="5" t="s">
        <v>24</v>
      </c>
      <c r="G184" s="5">
        <v>29.0</v>
      </c>
      <c r="H184" s="8">
        <v>24.0</v>
      </c>
      <c r="I184" s="8">
        <f t="shared" si="1"/>
        <v>696</v>
      </c>
      <c r="J184" s="8">
        <f>ROUND(I184*0.7,2)</f>
        <v>487.2</v>
      </c>
      <c r="K184" s="8">
        <f t="shared" si="2"/>
        <v>208.8</v>
      </c>
      <c r="L184" s="5">
        <f t="shared" si="3"/>
        <v>9</v>
      </c>
      <c r="M184" s="5" t="str">
        <f t="shared" si="4"/>
        <v>Sep</v>
      </c>
    </row>
    <row r="185" ht="15.75" customHeight="1">
      <c r="A185" s="5" t="s">
        <v>288</v>
      </c>
      <c r="B185" s="6">
        <v>45922.0</v>
      </c>
      <c r="C185" s="5" t="s">
        <v>46</v>
      </c>
      <c r="D185" s="5" t="s">
        <v>16</v>
      </c>
      <c r="E185" s="5" t="s">
        <v>40</v>
      </c>
      <c r="F185" s="5" t="s">
        <v>24</v>
      </c>
      <c r="G185" s="5">
        <v>5.0</v>
      </c>
      <c r="H185" s="8">
        <v>289.0</v>
      </c>
      <c r="I185" s="8">
        <f t="shared" si="1"/>
        <v>1445</v>
      </c>
      <c r="J185" s="8">
        <f>ROUND(I185*0.607,2)</f>
        <v>877.12</v>
      </c>
      <c r="K185" s="8">
        <f t="shared" si="2"/>
        <v>567.88</v>
      </c>
      <c r="L185" s="5">
        <f t="shared" si="3"/>
        <v>9</v>
      </c>
      <c r="M185" s="5" t="str">
        <f t="shared" si="4"/>
        <v>Sep</v>
      </c>
    </row>
    <row r="186" ht="15.75" customHeight="1">
      <c r="A186" s="5" t="s">
        <v>289</v>
      </c>
      <c r="B186" s="6">
        <v>45924.0</v>
      </c>
      <c r="C186" s="5" t="s">
        <v>46</v>
      </c>
      <c r="D186" s="5" t="s">
        <v>18</v>
      </c>
      <c r="E186" s="5" t="s">
        <v>98</v>
      </c>
      <c r="F186" s="5" t="s">
        <v>41</v>
      </c>
      <c r="G186" s="5">
        <v>5.0</v>
      </c>
      <c r="H186" s="8">
        <v>54.0</v>
      </c>
      <c r="I186" s="8">
        <f t="shared" si="1"/>
        <v>270</v>
      </c>
      <c r="J186" s="8">
        <f>ROUND(I186*0.671,2)</f>
        <v>181.17</v>
      </c>
      <c r="K186" s="8">
        <f t="shared" si="2"/>
        <v>88.83</v>
      </c>
      <c r="L186" s="5">
        <f t="shared" si="3"/>
        <v>9</v>
      </c>
      <c r="M186" s="5" t="str">
        <f t="shared" si="4"/>
        <v>Sep</v>
      </c>
    </row>
    <row r="187" ht="15.75" customHeight="1">
      <c r="A187" s="5" t="s">
        <v>290</v>
      </c>
      <c r="B187" s="6">
        <v>45926.0</v>
      </c>
      <c r="C187" s="5" t="s">
        <v>22</v>
      </c>
      <c r="D187" s="5" t="s">
        <v>20</v>
      </c>
      <c r="E187" s="5" t="s">
        <v>31</v>
      </c>
      <c r="F187" s="5" t="s">
        <v>44</v>
      </c>
      <c r="G187" s="5">
        <v>22.0</v>
      </c>
      <c r="H187" s="8">
        <v>69.0</v>
      </c>
      <c r="I187" s="8">
        <f t="shared" si="1"/>
        <v>1518</v>
      </c>
      <c r="J187" s="8">
        <f>ROUND(I187*0.588,2)</f>
        <v>892.58</v>
      </c>
      <c r="K187" s="8">
        <f t="shared" si="2"/>
        <v>625.42</v>
      </c>
      <c r="L187" s="5">
        <f t="shared" si="3"/>
        <v>9</v>
      </c>
      <c r="M187" s="5" t="str">
        <f t="shared" si="4"/>
        <v>Sep</v>
      </c>
    </row>
    <row r="188" ht="15.75" customHeight="1">
      <c r="A188" s="5" t="s">
        <v>291</v>
      </c>
      <c r="B188" s="6">
        <v>45926.0</v>
      </c>
      <c r="C188" s="5" t="s">
        <v>30</v>
      </c>
      <c r="D188" s="5" t="s">
        <v>19</v>
      </c>
      <c r="E188" s="5" t="s">
        <v>94</v>
      </c>
      <c r="F188" s="5" t="s">
        <v>32</v>
      </c>
      <c r="G188" s="5">
        <v>25.0</v>
      </c>
      <c r="H188" s="8">
        <v>29.0</v>
      </c>
      <c r="I188" s="8">
        <f t="shared" si="1"/>
        <v>725</v>
      </c>
      <c r="J188" s="8">
        <f>ROUND(I188*0.619,2)</f>
        <v>448.78</v>
      </c>
      <c r="K188" s="8">
        <f t="shared" si="2"/>
        <v>276.22</v>
      </c>
      <c r="L188" s="5">
        <f t="shared" si="3"/>
        <v>9</v>
      </c>
      <c r="M188" s="5" t="str">
        <f t="shared" si="4"/>
        <v>Sep</v>
      </c>
    </row>
    <row r="189" ht="15.75" customHeight="1">
      <c r="A189" s="5" t="s">
        <v>292</v>
      </c>
      <c r="B189" s="6">
        <v>45927.0</v>
      </c>
      <c r="C189" s="5" t="s">
        <v>22</v>
      </c>
      <c r="D189" s="5" t="s">
        <v>20</v>
      </c>
      <c r="E189" s="5" t="s">
        <v>43</v>
      </c>
      <c r="F189" s="5" t="s">
        <v>34</v>
      </c>
      <c r="G189" s="5">
        <v>25.0</v>
      </c>
      <c r="H189" s="8">
        <v>159.0</v>
      </c>
      <c r="I189" s="8">
        <f t="shared" si="1"/>
        <v>3975</v>
      </c>
      <c r="J189" s="8">
        <f>ROUND(I189*0.717,2)</f>
        <v>2850.08</v>
      </c>
      <c r="K189" s="8">
        <f t="shared" si="2"/>
        <v>1124.92</v>
      </c>
      <c r="L189" s="5">
        <f t="shared" si="3"/>
        <v>9</v>
      </c>
      <c r="M189" s="5" t="str">
        <f t="shared" si="4"/>
        <v>Sep</v>
      </c>
    </row>
    <row r="190" ht="15.75" customHeight="1">
      <c r="A190" s="5" t="s">
        <v>293</v>
      </c>
      <c r="B190" s="6">
        <v>45928.0</v>
      </c>
      <c r="C190" s="5" t="s">
        <v>36</v>
      </c>
      <c r="D190" s="5" t="s">
        <v>16</v>
      </c>
      <c r="E190" s="5" t="s">
        <v>117</v>
      </c>
      <c r="F190" s="5" t="s">
        <v>44</v>
      </c>
      <c r="G190" s="5">
        <v>35.0</v>
      </c>
      <c r="H190" s="8">
        <v>59.0</v>
      </c>
      <c r="I190" s="8">
        <f t="shared" si="1"/>
        <v>2065</v>
      </c>
      <c r="J190" s="8">
        <f>ROUND(I190*0.678,2)</f>
        <v>1400.07</v>
      </c>
      <c r="K190" s="8">
        <f t="shared" si="2"/>
        <v>664.93</v>
      </c>
      <c r="L190" s="5">
        <f t="shared" si="3"/>
        <v>9</v>
      </c>
      <c r="M190" s="5" t="str">
        <f t="shared" si="4"/>
        <v>Sep</v>
      </c>
    </row>
    <row r="191" ht="15.75" customHeight="1">
      <c r="A191" s="5" t="s">
        <v>294</v>
      </c>
      <c r="B191" s="6">
        <v>45929.0</v>
      </c>
      <c r="C191" s="5" t="s">
        <v>30</v>
      </c>
      <c r="D191" s="5" t="s">
        <v>16</v>
      </c>
      <c r="E191" s="5" t="s">
        <v>117</v>
      </c>
      <c r="F191" s="5" t="s">
        <v>24</v>
      </c>
      <c r="G191" s="5">
        <v>5.0</v>
      </c>
      <c r="H191" s="8">
        <v>59.0</v>
      </c>
      <c r="I191" s="8">
        <f t="shared" si="1"/>
        <v>295</v>
      </c>
      <c r="J191" s="8">
        <f>ROUND(I191*0.651,2)</f>
        <v>192.05</v>
      </c>
      <c r="K191" s="8">
        <f t="shared" si="2"/>
        <v>102.95</v>
      </c>
      <c r="L191" s="5">
        <f t="shared" si="3"/>
        <v>9</v>
      </c>
      <c r="M191" s="5" t="str">
        <f t="shared" si="4"/>
        <v>Sep</v>
      </c>
    </row>
    <row r="192" ht="15.75" customHeight="1">
      <c r="A192" s="5" t="s">
        <v>295</v>
      </c>
      <c r="B192" s="6">
        <v>45929.0</v>
      </c>
      <c r="C192" s="5" t="s">
        <v>30</v>
      </c>
      <c r="D192" s="5" t="s">
        <v>20</v>
      </c>
      <c r="E192" s="5" t="s">
        <v>43</v>
      </c>
      <c r="F192" s="5" t="s">
        <v>41</v>
      </c>
      <c r="G192" s="5">
        <v>22.0</v>
      </c>
      <c r="H192" s="8">
        <v>159.0</v>
      </c>
      <c r="I192" s="8">
        <f t="shared" si="1"/>
        <v>3498</v>
      </c>
      <c r="J192" s="8">
        <f>ROUND(I192*0.577,2)</f>
        <v>2018.35</v>
      </c>
      <c r="K192" s="8">
        <f t="shared" si="2"/>
        <v>1479.65</v>
      </c>
      <c r="L192" s="5">
        <f t="shared" si="3"/>
        <v>9</v>
      </c>
      <c r="M192" s="5" t="str">
        <f t="shared" si="4"/>
        <v>Sep</v>
      </c>
    </row>
    <row r="193" ht="15.75" customHeight="1">
      <c r="A193" s="5" t="s">
        <v>296</v>
      </c>
      <c r="B193" s="6">
        <v>45933.0</v>
      </c>
      <c r="C193" s="5" t="s">
        <v>30</v>
      </c>
      <c r="D193" s="5" t="s">
        <v>19</v>
      </c>
      <c r="E193" s="5" t="s">
        <v>49</v>
      </c>
      <c r="F193" s="5" t="s">
        <v>34</v>
      </c>
      <c r="G193" s="5">
        <v>22.0</v>
      </c>
      <c r="H193" s="8">
        <v>22.0</v>
      </c>
      <c r="I193" s="8">
        <f t="shared" si="1"/>
        <v>484</v>
      </c>
      <c r="J193" s="8">
        <f>ROUND(I193*0.656,2)</f>
        <v>317.5</v>
      </c>
      <c r="K193" s="8">
        <f t="shared" si="2"/>
        <v>166.5</v>
      </c>
      <c r="L193" s="5">
        <f t="shared" si="3"/>
        <v>10</v>
      </c>
      <c r="M193" s="5" t="str">
        <f t="shared" si="4"/>
        <v>Oct</v>
      </c>
    </row>
    <row r="194" ht="15.75" customHeight="1">
      <c r="A194" s="5" t="s">
        <v>297</v>
      </c>
      <c r="B194" s="6">
        <v>45934.0</v>
      </c>
      <c r="C194" s="5" t="s">
        <v>36</v>
      </c>
      <c r="D194" s="5" t="s">
        <v>18</v>
      </c>
      <c r="E194" s="5" t="s">
        <v>112</v>
      </c>
      <c r="F194" s="5" t="s">
        <v>44</v>
      </c>
      <c r="G194" s="5">
        <v>2.0</v>
      </c>
      <c r="H194" s="8">
        <v>89.0</v>
      </c>
      <c r="I194" s="8">
        <f t="shared" si="1"/>
        <v>178</v>
      </c>
      <c r="J194" s="8">
        <f>ROUND(I194*0.572,2)</f>
        <v>101.82</v>
      </c>
      <c r="K194" s="8">
        <f t="shared" si="2"/>
        <v>76.18</v>
      </c>
      <c r="L194" s="5">
        <f t="shared" si="3"/>
        <v>10</v>
      </c>
      <c r="M194" s="5" t="str">
        <f t="shared" si="4"/>
        <v>Oct</v>
      </c>
    </row>
    <row r="195" ht="15.75" customHeight="1">
      <c r="A195" s="5" t="s">
        <v>298</v>
      </c>
      <c r="B195" s="6">
        <v>45935.0</v>
      </c>
      <c r="C195" s="5" t="s">
        <v>22</v>
      </c>
      <c r="D195" s="5" t="s">
        <v>19</v>
      </c>
      <c r="E195" s="5" t="s">
        <v>56</v>
      </c>
      <c r="F195" s="5" t="s">
        <v>34</v>
      </c>
      <c r="G195" s="5">
        <v>38.0</v>
      </c>
      <c r="H195" s="8">
        <v>199.0</v>
      </c>
      <c r="I195" s="8">
        <f t="shared" si="1"/>
        <v>7562</v>
      </c>
      <c r="J195" s="8">
        <f>ROUND(I195*0.631,2)</f>
        <v>4771.62</v>
      </c>
      <c r="K195" s="8">
        <f t="shared" si="2"/>
        <v>2790.38</v>
      </c>
      <c r="L195" s="5">
        <f t="shared" si="3"/>
        <v>10</v>
      </c>
      <c r="M195" s="5" t="str">
        <f t="shared" si="4"/>
        <v>Oct</v>
      </c>
    </row>
    <row r="196" ht="15.75" customHeight="1">
      <c r="A196" s="5" t="s">
        <v>299</v>
      </c>
      <c r="B196" s="6">
        <v>45935.0</v>
      </c>
      <c r="C196" s="5" t="s">
        <v>46</v>
      </c>
      <c r="D196" s="5" t="s">
        <v>20</v>
      </c>
      <c r="E196" s="5" t="s">
        <v>105</v>
      </c>
      <c r="F196" s="5" t="s">
        <v>24</v>
      </c>
      <c r="G196" s="5">
        <v>27.0</v>
      </c>
      <c r="H196" s="8">
        <v>24.0</v>
      </c>
      <c r="I196" s="8">
        <f t="shared" si="1"/>
        <v>648</v>
      </c>
      <c r="J196" s="8">
        <f>ROUND(I196*0.616,2)</f>
        <v>399.17</v>
      </c>
      <c r="K196" s="8">
        <f t="shared" si="2"/>
        <v>248.83</v>
      </c>
      <c r="L196" s="5">
        <f t="shared" si="3"/>
        <v>10</v>
      </c>
      <c r="M196" s="5" t="str">
        <f t="shared" si="4"/>
        <v>Oct</v>
      </c>
    </row>
    <row r="197" ht="15.75" customHeight="1">
      <c r="A197" s="5" t="s">
        <v>300</v>
      </c>
      <c r="B197" s="6">
        <v>45939.0</v>
      </c>
      <c r="C197" s="5" t="s">
        <v>22</v>
      </c>
      <c r="D197" s="5" t="s">
        <v>16</v>
      </c>
      <c r="E197" s="5" t="s">
        <v>117</v>
      </c>
      <c r="F197" s="5" t="s">
        <v>34</v>
      </c>
      <c r="G197" s="5">
        <v>16.0</v>
      </c>
      <c r="H197" s="8">
        <v>59.0</v>
      </c>
      <c r="I197" s="8">
        <f t="shared" si="1"/>
        <v>944</v>
      </c>
      <c r="J197" s="8">
        <f>ROUND(I197*0.578,2)</f>
        <v>545.63</v>
      </c>
      <c r="K197" s="8">
        <f t="shared" si="2"/>
        <v>398.37</v>
      </c>
      <c r="L197" s="5">
        <f t="shared" si="3"/>
        <v>10</v>
      </c>
      <c r="M197" s="5" t="str">
        <f t="shared" si="4"/>
        <v>Oct</v>
      </c>
    </row>
    <row r="198" ht="15.75" customHeight="1">
      <c r="A198" s="5" t="s">
        <v>301</v>
      </c>
      <c r="B198" s="6">
        <v>45940.0</v>
      </c>
      <c r="C198" s="5" t="s">
        <v>46</v>
      </c>
      <c r="D198" s="5" t="s">
        <v>20</v>
      </c>
      <c r="E198" s="5" t="s">
        <v>31</v>
      </c>
      <c r="F198" s="5" t="s">
        <v>24</v>
      </c>
      <c r="G198" s="5">
        <v>16.0</v>
      </c>
      <c r="H198" s="8">
        <v>69.0</v>
      </c>
      <c r="I198" s="8">
        <f t="shared" si="1"/>
        <v>1104</v>
      </c>
      <c r="J198" s="8">
        <f>ROUND(I198*0.647,2)</f>
        <v>714.29</v>
      </c>
      <c r="K198" s="8">
        <f t="shared" si="2"/>
        <v>389.71</v>
      </c>
      <c r="L198" s="5">
        <f t="shared" si="3"/>
        <v>10</v>
      </c>
      <c r="M198" s="5" t="str">
        <f t="shared" si="4"/>
        <v>Oct</v>
      </c>
    </row>
    <row r="199" ht="15.75" customHeight="1">
      <c r="A199" s="5" t="s">
        <v>302</v>
      </c>
      <c r="B199" s="6">
        <v>45940.0</v>
      </c>
      <c r="C199" s="5" t="s">
        <v>36</v>
      </c>
      <c r="D199" s="5" t="s">
        <v>18</v>
      </c>
      <c r="E199" s="5" t="s">
        <v>98</v>
      </c>
      <c r="F199" s="5" t="s">
        <v>38</v>
      </c>
      <c r="G199" s="5">
        <v>35.0</v>
      </c>
      <c r="H199" s="8">
        <v>54.0</v>
      </c>
      <c r="I199" s="8">
        <f t="shared" si="1"/>
        <v>1890</v>
      </c>
      <c r="J199" s="8">
        <f>ROUND(I199*0.566,2)</f>
        <v>1069.74</v>
      </c>
      <c r="K199" s="8">
        <f t="shared" si="2"/>
        <v>820.26</v>
      </c>
      <c r="L199" s="5">
        <f t="shared" si="3"/>
        <v>10</v>
      </c>
      <c r="M199" s="5" t="str">
        <f t="shared" si="4"/>
        <v>Oct</v>
      </c>
    </row>
    <row r="200" ht="15.75" customHeight="1">
      <c r="A200" s="5" t="s">
        <v>303</v>
      </c>
      <c r="B200" s="6">
        <v>45943.0</v>
      </c>
      <c r="C200" s="5" t="s">
        <v>30</v>
      </c>
      <c r="D200" s="5" t="s">
        <v>16</v>
      </c>
      <c r="E200" s="5" t="s">
        <v>47</v>
      </c>
      <c r="F200" s="5" t="s">
        <v>24</v>
      </c>
      <c r="G200" s="5">
        <v>30.0</v>
      </c>
      <c r="H200" s="8">
        <v>45.0</v>
      </c>
      <c r="I200" s="8">
        <f t="shared" si="1"/>
        <v>1350</v>
      </c>
      <c r="J200" s="8">
        <f>ROUND(I200*0.663,2)</f>
        <v>895.05</v>
      </c>
      <c r="K200" s="8">
        <f t="shared" si="2"/>
        <v>454.95</v>
      </c>
      <c r="L200" s="5">
        <f t="shared" si="3"/>
        <v>10</v>
      </c>
      <c r="M200" s="5" t="str">
        <f t="shared" si="4"/>
        <v>Oct</v>
      </c>
    </row>
    <row r="201" ht="15.75" customHeight="1">
      <c r="A201" s="5" t="s">
        <v>304</v>
      </c>
      <c r="B201" s="6">
        <v>45944.0</v>
      </c>
      <c r="C201" s="5" t="s">
        <v>36</v>
      </c>
      <c r="D201" s="5" t="s">
        <v>20</v>
      </c>
      <c r="E201" s="5" t="s">
        <v>43</v>
      </c>
      <c r="F201" s="5" t="s">
        <v>38</v>
      </c>
      <c r="G201" s="5">
        <v>29.0</v>
      </c>
      <c r="H201" s="8">
        <v>159.0</v>
      </c>
      <c r="I201" s="8">
        <f t="shared" si="1"/>
        <v>4611</v>
      </c>
      <c r="J201" s="8">
        <f>ROUND(I201*0.703,2)</f>
        <v>3241.53</v>
      </c>
      <c r="K201" s="8">
        <f t="shared" si="2"/>
        <v>1369.47</v>
      </c>
      <c r="L201" s="5">
        <f t="shared" si="3"/>
        <v>10</v>
      </c>
      <c r="M201" s="5" t="str">
        <f t="shared" si="4"/>
        <v>Oct</v>
      </c>
    </row>
    <row r="202" ht="15.75" customHeight="1">
      <c r="A202" s="5" t="s">
        <v>305</v>
      </c>
      <c r="B202" s="6">
        <v>45945.0</v>
      </c>
      <c r="C202" s="5" t="s">
        <v>36</v>
      </c>
      <c r="D202" s="5" t="s">
        <v>20</v>
      </c>
      <c r="E202" s="5" t="s">
        <v>43</v>
      </c>
      <c r="F202" s="5" t="s">
        <v>32</v>
      </c>
      <c r="G202" s="5">
        <v>15.0</v>
      </c>
      <c r="H202" s="8">
        <v>159.0</v>
      </c>
      <c r="I202" s="8">
        <f t="shared" si="1"/>
        <v>2385</v>
      </c>
      <c r="J202" s="8">
        <f>ROUND(I202*0.72,2)</f>
        <v>1717.2</v>
      </c>
      <c r="K202" s="8">
        <f t="shared" si="2"/>
        <v>667.8</v>
      </c>
      <c r="L202" s="5">
        <f t="shared" si="3"/>
        <v>10</v>
      </c>
      <c r="M202" s="5" t="str">
        <f t="shared" si="4"/>
        <v>Oct</v>
      </c>
    </row>
    <row r="203" ht="15.75" customHeight="1">
      <c r="A203" s="5" t="s">
        <v>306</v>
      </c>
      <c r="B203" s="6">
        <v>45945.0</v>
      </c>
      <c r="C203" s="5" t="s">
        <v>36</v>
      </c>
      <c r="D203" s="5" t="s">
        <v>18</v>
      </c>
      <c r="E203" s="5" t="s">
        <v>112</v>
      </c>
      <c r="F203" s="5" t="s">
        <v>44</v>
      </c>
      <c r="G203" s="5">
        <v>30.0</v>
      </c>
      <c r="H203" s="8">
        <v>89.0</v>
      </c>
      <c r="I203" s="8">
        <f t="shared" si="1"/>
        <v>2670</v>
      </c>
      <c r="J203" s="8">
        <f>ROUND(I203*0.705,2)</f>
        <v>1882.35</v>
      </c>
      <c r="K203" s="8">
        <f t="shared" si="2"/>
        <v>787.65</v>
      </c>
      <c r="L203" s="5">
        <f t="shared" si="3"/>
        <v>10</v>
      </c>
      <c r="M203" s="5" t="str">
        <f t="shared" si="4"/>
        <v>Oct</v>
      </c>
    </row>
    <row r="204" ht="15.75" customHeight="1">
      <c r="A204" s="5" t="s">
        <v>307</v>
      </c>
      <c r="B204" s="6">
        <v>45946.0</v>
      </c>
      <c r="C204" s="5" t="s">
        <v>46</v>
      </c>
      <c r="D204" s="5" t="s">
        <v>19</v>
      </c>
      <c r="E204" s="5" t="s">
        <v>94</v>
      </c>
      <c r="F204" s="5" t="s">
        <v>24</v>
      </c>
      <c r="G204" s="5">
        <v>29.0</v>
      </c>
      <c r="H204" s="8">
        <v>29.0</v>
      </c>
      <c r="I204" s="8">
        <f t="shared" si="1"/>
        <v>841</v>
      </c>
      <c r="J204" s="8">
        <f t="shared" ref="J204:J205" si="6">ROUND(I204*0.562,2)</f>
        <v>472.64</v>
      </c>
      <c r="K204" s="8">
        <f t="shared" si="2"/>
        <v>368.36</v>
      </c>
      <c r="L204" s="5">
        <f t="shared" si="3"/>
        <v>10</v>
      </c>
      <c r="M204" s="5" t="str">
        <f t="shared" si="4"/>
        <v>Oct</v>
      </c>
    </row>
    <row r="205" ht="15.75" customHeight="1">
      <c r="A205" s="5" t="s">
        <v>308</v>
      </c>
      <c r="B205" s="6">
        <v>45947.0</v>
      </c>
      <c r="C205" s="5" t="s">
        <v>22</v>
      </c>
      <c r="D205" s="5" t="s">
        <v>19</v>
      </c>
      <c r="E205" s="5" t="s">
        <v>49</v>
      </c>
      <c r="F205" s="5" t="s">
        <v>44</v>
      </c>
      <c r="G205" s="5">
        <v>24.0</v>
      </c>
      <c r="H205" s="8">
        <v>22.0</v>
      </c>
      <c r="I205" s="8">
        <f t="shared" si="1"/>
        <v>528</v>
      </c>
      <c r="J205" s="8">
        <f t="shared" si="6"/>
        <v>296.74</v>
      </c>
      <c r="K205" s="8">
        <f t="shared" si="2"/>
        <v>231.26</v>
      </c>
      <c r="L205" s="5">
        <f t="shared" si="3"/>
        <v>10</v>
      </c>
      <c r="M205" s="5" t="str">
        <f t="shared" si="4"/>
        <v>Oct</v>
      </c>
    </row>
    <row r="206" ht="15.75" customHeight="1">
      <c r="A206" s="5" t="s">
        <v>309</v>
      </c>
      <c r="B206" s="6">
        <v>45947.0</v>
      </c>
      <c r="C206" s="5" t="s">
        <v>22</v>
      </c>
      <c r="D206" s="5" t="s">
        <v>20</v>
      </c>
      <c r="E206" s="5" t="s">
        <v>31</v>
      </c>
      <c r="F206" s="5" t="s">
        <v>24</v>
      </c>
      <c r="G206" s="5">
        <v>39.0</v>
      </c>
      <c r="H206" s="8">
        <v>69.0</v>
      </c>
      <c r="I206" s="8">
        <f t="shared" si="1"/>
        <v>2691</v>
      </c>
      <c r="J206" s="8">
        <f>ROUND(I206*0.686,2)</f>
        <v>1846.03</v>
      </c>
      <c r="K206" s="8">
        <f t="shared" si="2"/>
        <v>844.97</v>
      </c>
      <c r="L206" s="5">
        <f t="shared" si="3"/>
        <v>10</v>
      </c>
      <c r="M206" s="5" t="str">
        <f t="shared" si="4"/>
        <v>Oct</v>
      </c>
    </row>
    <row r="207" ht="15.75" customHeight="1">
      <c r="A207" s="5" t="s">
        <v>310</v>
      </c>
      <c r="B207" s="6">
        <v>45947.0</v>
      </c>
      <c r="C207" s="5" t="s">
        <v>46</v>
      </c>
      <c r="D207" s="5" t="s">
        <v>16</v>
      </c>
      <c r="E207" s="5" t="s">
        <v>40</v>
      </c>
      <c r="F207" s="5" t="s">
        <v>44</v>
      </c>
      <c r="G207" s="5">
        <v>2.0</v>
      </c>
      <c r="H207" s="8">
        <v>289.0</v>
      </c>
      <c r="I207" s="8">
        <f t="shared" si="1"/>
        <v>578</v>
      </c>
      <c r="J207" s="8">
        <f>ROUND(I207*0.566,2)</f>
        <v>327.15</v>
      </c>
      <c r="K207" s="8">
        <f t="shared" si="2"/>
        <v>250.85</v>
      </c>
      <c r="L207" s="5">
        <f t="shared" si="3"/>
        <v>10</v>
      </c>
      <c r="M207" s="5" t="str">
        <f t="shared" si="4"/>
        <v>Oct</v>
      </c>
    </row>
    <row r="208" ht="15.75" customHeight="1">
      <c r="A208" s="5" t="s">
        <v>311</v>
      </c>
      <c r="B208" s="6">
        <v>45949.0</v>
      </c>
      <c r="C208" s="5" t="s">
        <v>36</v>
      </c>
      <c r="D208" s="5" t="s">
        <v>20</v>
      </c>
      <c r="E208" s="5" t="s">
        <v>105</v>
      </c>
      <c r="F208" s="5" t="s">
        <v>41</v>
      </c>
      <c r="G208" s="5">
        <v>20.0</v>
      </c>
      <c r="H208" s="8">
        <v>24.0</v>
      </c>
      <c r="I208" s="8">
        <f t="shared" si="1"/>
        <v>480</v>
      </c>
      <c r="J208" s="8">
        <f>ROUND(I208*0.669,2)</f>
        <v>321.12</v>
      </c>
      <c r="K208" s="8">
        <f t="shared" si="2"/>
        <v>158.88</v>
      </c>
      <c r="L208" s="5">
        <f t="shared" si="3"/>
        <v>10</v>
      </c>
      <c r="M208" s="5" t="str">
        <f t="shared" si="4"/>
        <v>Oct</v>
      </c>
    </row>
    <row r="209" ht="15.75" customHeight="1">
      <c r="A209" s="5" t="s">
        <v>312</v>
      </c>
      <c r="B209" s="6">
        <v>45954.0</v>
      </c>
      <c r="C209" s="5" t="s">
        <v>36</v>
      </c>
      <c r="D209" s="5" t="s">
        <v>20</v>
      </c>
      <c r="E209" s="5" t="s">
        <v>43</v>
      </c>
      <c r="F209" s="5" t="s">
        <v>41</v>
      </c>
      <c r="G209" s="5">
        <v>14.0</v>
      </c>
      <c r="H209" s="8">
        <v>159.0</v>
      </c>
      <c r="I209" s="8">
        <f t="shared" si="1"/>
        <v>2226</v>
      </c>
      <c r="J209" s="8">
        <f>ROUND(I209*0.637,2)</f>
        <v>1417.96</v>
      </c>
      <c r="K209" s="8">
        <f t="shared" si="2"/>
        <v>808.04</v>
      </c>
      <c r="L209" s="5">
        <f t="shared" si="3"/>
        <v>10</v>
      </c>
      <c r="M209" s="5" t="str">
        <f t="shared" si="4"/>
        <v>Oct</v>
      </c>
    </row>
    <row r="210" ht="15.75" customHeight="1">
      <c r="A210" s="5" t="s">
        <v>313</v>
      </c>
      <c r="B210" s="6">
        <v>45954.0</v>
      </c>
      <c r="C210" s="5" t="s">
        <v>46</v>
      </c>
      <c r="D210" s="5" t="s">
        <v>18</v>
      </c>
      <c r="E210" s="5" t="s">
        <v>140</v>
      </c>
      <c r="F210" s="5" t="s">
        <v>38</v>
      </c>
      <c r="G210" s="5">
        <v>31.0</v>
      </c>
      <c r="H210" s="8">
        <v>19.0</v>
      </c>
      <c r="I210" s="8">
        <f t="shared" si="1"/>
        <v>589</v>
      </c>
      <c r="J210" s="8">
        <f>ROUND(I210*0.609,2)</f>
        <v>358.7</v>
      </c>
      <c r="K210" s="8">
        <f t="shared" si="2"/>
        <v>230.3</v>
      </c>
      <c r="L210" s="5">
        <f t="shared" si="3"/>
        <v>10</v>
      </c>
      <c r="M210" s="5" t="str">
        <f t="shared" si="4"/>
        <v>Oct</v>
      </c>
    </row>
    <row r="211" ht="15.75" customHeight="1">
      <c r="A211" s="5" t="s">
        <v>314</v>
      </c>
      <c r="B211" s="6">
        <v>45957.0</v>
      </c>
      <c r="C211" s="5" t="s">
        <v>22</v>
      </c>
      <c r="D211" s="5" t="s">
        <v>20</v>
      </c>
      <c r="E211" s="5" t="s">
        <v>43</v>
      </c>
      <c r="F211" s="5" t="s">
        <v>34</v>
      </c>
      <c r="G211" s="5">
        <v>23.0</v>
      </c>
      <c r="H211" s="8">
        <v>159.0</v>
      </c>
      <c r="I211" s="8">
        <f t="shared" si="1"/>
        <v>3657</v>
      </c>
      <c r="J211" s="8">
        <f>ROUND(I211*0.601,2)</f>
        <v>2197.86</v>
      </c>
      <c r="K211" s="8">
        <f t="shared" si="2"/>
        <v>1459.14</v>
      </c>
      <c r="L211" s="5">
        <f t="shared" si="3"/>
        <v>10</v>
      </c>
      <c r="M211" s="5" t="str">
        <f t="shared" si="4"/>
        <v>Oct</v>
      </c>
    </row>
    <row r="212" ht="15.75" customHeight="1">
      <c r="A212" s="5" t="s">
        <v>315</v>
      </c>
      <c r="B212" s="6">
        <v>45959.0</v>
      </c>
      <c r="C212" s="5" t="s">
        <v>30</v>
      </c>
      <c r="D212" s="5" t="s">
        <v>18</v>
      </c>
      <c r="E212" s="5" t="s">
        <v>112</v>
      </c>
      <c r="F212" s="5" t="s">
        <v>34</v>
      </c>
      <c r="G212" s="5">
        <v>4.0</v>
      </c>
      <c r="H212" s="8">
        <v>89.0</v>
      </c>
      <c r="I212" s="8">
        <f t="shared" si="1"/>
        <v>356</v>
      </c>
      <c r="J212" s="8">
        <f>ROUND(I212*0.589,2)</f>
        <v>209.68</v>
      </c>
      <c r="K212" s="8">
        <f t="shared" si="2"/>
        <v>146.32</v>
      </c>
      <c r="L212" s="5">
        <f t="shared" si="3"/>
        <v>10</v>
      </c>
      <c r="M212" s="5" t="str">
        <f t="shared" si="4"/>
        <v>Oct</v>
      </c>
    </row>
    <row r="213" ht="15.75" customHeight="1">
      <c r="A213" s="5" t="s">
        <v>316</v>
      </c>
      <c r="B213" s="6">
        <v>45959.0</v>
      </c>
      <c r="C213" s="5" t="s">
        <v>36</v>
      </c>
      <c r="D213" s="5" t="s">
        <v>16</v>
      </c>
      <c r="E213" s="5" t="s">
        <v>40</v>
      </c>
      <c r="F213" s="5" t="s">
        <v>32</v>
      </c>
      <c r="G213" s="5">
        <v>15.0</v>
      </c>
      <c r="H213" s="8">
        <v>289.0</v>
      </c>
      <c r="I213" s="8">
        <f t="shared" si="1"/>
        <v>4335</v>
      </c>
      <c r="J213" s="8">
        <f>ROUND(I213*0.611,2)</f>
        <v>2648.69</v>
      </c>
      <c r="K213" s="8">
        <f t="shared" si="2"/>
        <v>1686.31</v>
      </c>
      <c r="L213" s="5">
        <f t="shared" si="3"/>
        <v>10</v>
      </c>
      <c r="M213" s="5" t="str">
        <f t="shared" si="4"/>
        <v>Oct</v>
      </c>
    </row>
    <row r="214" ht="15.75" customHeight="1">
      <c r="A214" s="5" t="s">
        <v>317</v>
      </c>
      <c r="B214" s="6">
        <v>45960.0</v>
      </c>
      <c r="C214" s="5" t="s">
        <v>36</v>
      </c>
      <c r="D214" s="5" t="s">
        <v>16</v>
      </c>
      <c r="E214" s="5" t="s">
        <v>47</v>
      </c>
      <c r="F214" s="5" t="s">
        <v>34</v>
      </c>
      <c r="G214" s="5">
        <v>34.0</v>
      </c>
      <c r="H214" s="8">
        <v>45.0</v>
      </c>
      <c r="I214" s="8">
        <f t="shared" si="1"/>
        <v>1530</v>
      </c>
      <c r="J214" s="8">
        <f>ROUND(I214*0.705,2)</f>
        <v>1078.65</v>
      </c>
      <c r="K214" s="8">
        <f t="shared" si="2"/>
        <v>451.35</v>
      </c>
      <c r="L214" s="5">
        <f t="shared" si="3"/>
        <v>10</v>
      </c>
      <c r="M214" s="5" t="str">
        <f t="shared" si="4"/>
        <v>Oct</v>
      </c>
    </row>
    <row r="215" ht="15.75" customHeight="1">
      <c r="A215" s="5" t="s">
        <v>318</v>
      </c>
      <c r="B215" s="6">
        <v>45963.0</v>
      </c>
      <c r="C215" s="5" t="s">
        <v>46</v>
      </c>
      <c r="D215" s="5" t="s">
        <v>19</v>
      </c>
      <c r="E215" s="5" t="s">
        <v>94</v>
      </c>
      <c r="F215" s="5" t="s">
        <v>41</v>
      </c>
      <c r="G215" s="5">
        <v>39.0</v>
      </c>
      <c r="H215" s="8">
        <v>29.0</v>
      </c>
      <c r="I215" s="8">
        <f t="shared" si="1"/>
        <v>1131</v>
      </c>
      <c r="J215" s="8">
        <f>ROUND(I215*0.717,2)</f>
        <v>810.93</v>
      </c>
      <c r="K215" s="8">
        <f t="shared" si="2"/>
        <v>320.07</v>
      </c>
      <c r="L215" s="5">
        <f t="shared" si="3"/>
        <v>11</v>
      </c>
      <c r="M215" s="5" t="str">
        <f t="shared" si="4"/>
        <v>Nov</v>
      </c>
    </row>
    <row r="216" ht="15.75" customHeight="1">
      <c r="A216" s="5" t="s">
        <v>319</v>
      </c>
      <c r="B216" s="6">
        <v>45964.0</v>
      </c>
      <c r="C216" s="5" t="s">
        <v>22</v>
      </c>
      <c r="D216" s="5" t="s">
        <v>16</v>
      </c>
      <c r="E216" s="5" t="s">
        <v>40</v>
      </c>
      <c r="F216" s="5" t="s">
        <v>32</v>
      </c>
      <c r="G216" s="5">
        <v>14.0</v>
      </c>
      <c r="H216" s="8">
        <v>289.0</v>
      </c>
      <c r="I216" s="8">
        <f t="shared" si="1"/>
        <v>4046</v>
      </c>
      <c r="J216" s="8">
        <f>ROUND(I216*0.68,2)</f>
        <v>2751.28</v>
      </c>
      <c r="K216" s="8">
        <f t="shared" si="2"/>
        <v>1294.72</v>
      </c>
      <c r="L216" s="5">
        <f t="shared" si="3"/>
        <v>11</v>
      </c>
      <c r="M216" s="5" t="str">
        <f t="shared" si="4"/>
        <v>Nov</v>
      </c>
    </row>
    <row r="217" ht="15.75" customHeight="1">
      <c r="A217" s="5" t="s">
        <v>320</v>
      </c>
      <c r="B217" s="6">
        <v>45966.0</v>
      </c>
      <c r="C217" s="5" t="s">
        <v>30</v>
      </c>
      <c r="D217" s="5" t="s">
        <v>16</v>
      </c>
      <c r="E217" s="5" t="s">
        <v>40</v>
      </c>
      <c r="F217" s="5" t="s">
        <v>44</v>
      </c>
      <c r="G217" s="5">
        <v>32.0</v>
      </c>
      <c r="H217" s="8">
        <v>289.0</v>
      </c>
      <c r="I217" s="8">
        <f t="shared" si="1"/>
        <v>9248</v>
      </c>
      <c r="J217" s="8">
        <f>ROUND(I217*0.629,2)</f>
        <v>5816.99</v>
      </c>
      <c r="K217" s="8">
        <f t="shared" si="2"/>
        <v>3431.01</v>
      </c>
      <c r="L217" s="5">
        <f t="shared" si="3"/>
        <v>11</v>
      </c>
      <c r="M217" s="5" t="str">
        <f t="shared" si="4"/>
        <v>Nov</v>
      </c>
    </row>
    <row r="218" ht="15.75" customHeight="1">
      <c r="A218" s="5" t="s">
        <v>321</v>
      </c>
      <c r="B218" s="6">
        <v>45966.0</v>
      </c>
      <c r="C218" s="5" t="s">
        <v>30</v>
      </c>
      <c r="D218" s="5" t="s">
        <v>19</v>
      </c>
      <c r="E218" s="5" t="s">
        <v>94</v>
      </c>
      <c r="F218" s="5" t="s">
        <v>34</v>
      </c>
      <c r="G218" s="5">
        <v>6.0</v>
      </c>
      <c r="H218" s="8">
        <v>29.0</v>
      </c>
      <c r="I218" s="8">
        <f t="shared" si="1"/>
        <v>174</v>
      </c>
      <c r="J218" s="8">
        <f>ROUND(I218*0.606,2)</f>
        <v>105.44</v>
      </c>
      <c r="K218" s="8">
        <f t="shared" si="2"/>
        <v>68.56</v>
      </c>
      <c r="L218" s="5">
        <f t="shared" si="3"/>
        <v>11</v>
      </c>
      <c r="M218" s="5" t="str">
        <f t="shared" si="4"/>
        <v>Nov</v>
      </c>
    </row>
    <row r="219" ht="15.75" customHeight="1">
      <c r="A219" s="5" t="s">
        <v>322</v>
      </c>
      <c r="B219" s="6">
        <v>45967.0</v>
      </c>
      <c r="C219" s="5" t="s">
        <v>36</v>
      </c>
      <c r="D219" s="5" t="s">
        <v>16</v>
      </c>
      <c r="E219" s="5" t="s">
        <v>47</v>
      </c>
      <c r="F219" s="5" t="s">
        <v>38</v>
      </c>
      <c r="G219" s="5">
        <v>8.0</v>
      </c>
      <c r="H219" s="8">
        <v>45.0</v>
      </c>
      <c r="I219" s="8">
        <f t="shared" si="1"/>
        <v>360</v>
      </c>
      <c r="J219" s="8">
        <f>ROUND(I219*0.715,2)</f>
        <v>257.4</v>
      </c>
      <c r="K219" s="8">
        <f t="shared" si="2"/>
        <v>102.6</v>
      </c>
      <c r="L219" s="5">
        <f t="shared" si="3"/>
        <v>11</v>
      </c>
      <c r="M219" s="5" t="str">
        <f t="shared" si="4"/>
        <v>Nov</v>
      </c>
    </row>
    <row r="220" ht="15.75" customHeight="1">
      <c r="A220" s="5" t="s">
        <v>323</v>
      </c>
      <c r="B220" s="6">
        <v>45967.0</v>
      </c>
      <c r="C220" s="5" t="s">
        <v>36</v>
      </c>
      <c r="D220" s="5" t="s">
        <v>16</v>
      </c>
      <c r="E220" s="5" t="s">
        <v>117</v>
      </c>
      <c r="F220" s="5" t="s">
        <v>34</v>
      </c>
      <c r="G220" s="5">
        <v>3.0</v>
      </c>
      <c r="H220" s="8">
        <v>59.0</v>
      </c>
      <c r="I220" s="8">
        <f t="shared" si="1"/>
        <v>177</v>
      </c>
      <c r="J220" s="8">
        <f>ROUND(I220*0.711,2)</f>
        <v>125.85</v>
      </c>
      <c r="K220" s="8">
        <f t="shared" si="2"/>
        <v>51.15</v>
      </c>
      <c r="L220" s="5">
        <f t="shared" si="3"/>
        <v>11</v>
      </c>
      <c r="M220" s="5" t="str">
        <f t="shared" si="4"/>
        <v>Nov</v>
      </c>
    </row>
    <row r="221" ht="15.75" customHeight="1">
      <c r="A221" s="5" t="s">
        <v>324</v>
      </c>
      <c r="B221" s="6">
        <v>45970.0</v>
      </c>
      <c r="C221" s="5" t="s">
        <v>22</v>
      </c>
      <c r="D221" s="5" t="s">
        <v>20</v>
      </c>
      <c r="E221" s="5" t="s">
        <v>43</v>
      </c>
      <c r="F221" s="5" t="s">
        <v>44</v>
      </c>
      <c r="G221" s="5">
        <v>37.0</v>
      </c>
      <c r="H221" s="8">
        <v>159.0</v>
      </c>
      <c r="I221" s="8">
        <f t="shared" si="1"/>
        <v>5883</v>
      </c>
      <c r="J221" s="8">
        <f>ROUND(I221*0.583,2)</f>
        <v>3429.79</v>
      </c>
      <c r="K221" s="8">
        <f t="shared" si="2"/>
        <v>2453.21</v>
      </c>
      <c r="L221" s="5">
        <f t="shared" si="3"/>
        <v>11</v>
      </c>
      <c r="M221" s="5" t="str">
        <f t="shared" si="4"/>
        <v>Nov</v>
      </c>
    </row>
    <row r="222" ht="15.75" customHeight="1">
      <c r="A222" s="5" t="s">
        <v>325</v>
      </c>
      <c r="B222" s="6">
        <v>45971.0</v>
      </c>
      <c r="C222" s="5" t="s">
        <v>36</v>
      </c>
      <c r="D222" s="5" t="s">
        <v>20</v>
      </c>
      <c r="E222" s="5" t="s">
        <v>23</v>
      </c>
      <c r="F222" s="5" t="s">
        <v>34</v>
      </c>
      <c r="G222" s="5">
        <v>9.0</v>
      </c>
      <c r="H222" s="8">
        <v>89.0</v>
      </c>
      <c r="I222" s="8">
        <f t="shared" si="1"/>
        <v>801</v>
      </c>
      <c r="J222" s="8">
        <f>ROUND(I222*0.695,2)</f>
        <v>556.7</v>
      </c>
      <c r="K222" s="8">
        <f t="shared" si="2"/>
        <v>244.3</v>
      </c>
      <c r="L222" s="5">
        <f t="shared" si="3"/>
        <v>11</v>
      </c>
      <c r="M222" s="5" t="str">
        <f t="shared" si="4"/>
        <v>Nov</v>
      </c>
    </row>
    <row r="223" ht="15.75" customHeight="1">
      <c r="A223" s="5" t="s">
        <v>326</v>
      </c>
      <c r="B223" s="6">
        <v>45973.0</v>
      </c>
      <c r="C223" s="5" t="s">
        <v>46</v>
      </c>
      <c r="D223" s="5" t="s">
        <v>19</v>
      </c>
      <c r="E223" s="5" t="s">
        <v>56</v>
      </c>
      <c r="F223" s="5" t="s">
        <v>44</v>
      </c>
      <c r="G223" s="5">
        <v>24.0</v>
      </c>
      <c r="H223" s="8">
        <v>199.0</v>
      </c>
      <c r="I223" s="8">
        <f t="shared" si="1"/>
        <v>4776</v>
      </c>
      <c r="J223" s="8">
        <f>ROUND(I223*0.587,2)</f>
        <v>2803.51</v>
      </c>
      <c r="K223" s="8">
        <f t="shared" si="2"/>
        <v>1972.49</v>
      </c>
      <c r="L223" s="5">
        <f t="shared" si="3"/>
        <v>11</v>
      </c>
      <c r="M223" s="5" t="str">
        <f t="shared" si="4"/>
        <v>Nov</v>
      </c>
    </row>
    <row r="224" ht="15.75" customHeight="1">
      <c r="A224" s="5" t="s">
        <v>327</v>
      </c>
      <c r="B224" s="6">
        <v>45979.0</v>
      </c>
      <c r="C224" s="5" t="s">
        <v>22</v>
      </c>
      <c r="D224" s="5" t="s">
        <v>19</v>
      </c>
      <c r="E224" s="5" t="s">
        <v>51</v>
      </c>
      <c r="F224" s="5" t="s">
        <v>34</v>
      </c>
      <c r="G224" s="5">
        <v>23.0</v>
      </c>
      <c r="H224" s="8">
        <v>74.0</v>
      </c>
      <c r="I224" s="8">
        <f t="shared" si="1"/>
        <v>1702</v>
      </c>
      <c r="J224" s="8">
        <f>ROUND(I224*0.643,2)</f>
        <v>1094.39</v>
      </c>
      <c r="K224" s="8">
        <f t="shared" si="2"/>
        <v>607.61</v>
      </c>
      <c r="L224" s="5">
        <f t="shared" si="3"/>
        <v>11</v>
      </c>
      <c r="M224" s="5" t="str">
        <f t="shared" si="4"/>
        <v>Nov</v>
      </c>
    </row>
    <row r="225" ht="15.75" customHeight="1">
      <c r="A225" s="5" t="s">
        <v>328</v>
      </c>
      <c r="B225" s="6">
        <v>45981.0</v>
      </c>
      <c r="C225" s="5" t="s">
        <v>30</v>
      </c>
      <c r="D225" s="5" t="s">
        <v>18</v>
      </c>
      <c r="E225" s="5" t="s">
        <v>98</v>
      </c>
      <c r="F225" s="5" t="s">
        <v>41</v>
      </c>
      <c r="G225" s="5">
        <v>1.0</v>
      </c>
      <c r="H225" s="8">
        <v>54.0</v>
      </c>
      <c r="I225" s="8">
        <f t="shared" si="1"/>
        <v>54</v>
      </c>
      <c r="J225" s="8">
        <f>ROUND(I225*0.655,2)</f>
        <v>35.37</v>
      </c>
      <c r="K225" s="8">
        <f t="shared" si="2"/>
        <v>18.63</v>
      </c>
      <c r="L225" s="5">
        <f t="shared" si="3"/>
        <v>11</v>
      </c>
      <c r="M225" s="5" t="str">
        <f t="shared" si="4"/>
        <v>Nov</v>
      </c>
    </row>
    <row r="226" ht="15.75" customHeight="1">
      <c r="A226" s="5" t="s">
        <v>329</v>
      </c>
      <c r="B226" s="6">
        <v>45984.0</v>
      </c>
      <c r="C226" s="5" t="s">
        <v>46</v>
      </c>
      <c r="D226" s="5" t="s">
        <v>19</v>
      </c>
      <c r="E226" s="5" t="s">
        <v>51</v>
      </c>
      <c r="F226" s="5" t="s">
        <v>34</v>
      </c>
      <c r="G226" s="5">
        <v>10.0</v>
      </c>
      <c r="H226" s="8">
        <v>74.0</v>
      </c>
      <c r="I226" s="8">
        <f t="shared" si="1"/>
        <v>740</v>
      </c>
      <c r="J226" s="8">
        <f>ROUND(I226*0.694,2)</f>
        <v>513.56</v>
      </c>
      <c r="K226" s="8">
        <f t="shared" si="2"/>
        <v>226.44</v>
      </c>
      <c r="L226" s="5">
        <f t="shared" si="3"/>
        <v>11</v>
      </c>
      <c r="M226" s="5" t="str">
        <f t="shared" si="4"/>
        <v>Nov</v>
      </c>
    </row>
    <row r="227" ht="15.75" customHeight="1">
      <c r="A227" s="5" t="s">
        <v>330</v>
      </c>
      <c r="B227" s="6">
        <v>45985.0</v>
      </c>
      <c r="C227" s="5" t="s">
        <v>22</v>
      </c>
      <c r="D227" s="5" t="s">
        <v>16</v>
      </c>
      <c r="E227" s="5" t="s">
        <v>101</v>
      </c>
      <c r="F227" s="5" t="s">
        <v>24</v>
      </c>
      <c r="G227" s="5">
        <v>15.0</v>
      </c>
      <c r="H227" s="8">
        <v>179.0</v>
      </c>
      <c r="I227" s="8">
        <f t="shared" si="1"/>
        <v>2685</v>
      </c>
      <c r="J227" s="8">
        <f>ROUND(I227*0.574,2)</f>
        <v>1541.19</v>
      </c>
      <c r="K227" s="8">
        <f t="shared" si="2"/>
        <v>1143.81</v>
      </c>
      <c r="L227" s="5">
        <f t="shared" si="3"/>
        <v>11</v>
      </c>
      <c r="M227" s="5" t="str">
        <f t="shared" si="4"/>
        <v>Nov</v>
      </c>
    </row>
    <row r="228" ht="15.75" customHeight="1">
      <c r="A228" s="5" t="s">
        <v>331</v>
      </c>
      <c r="B228" s="6">
        <v>45985.0</v>
      </c>
      <c r="C228" s="5" t="s">
        <v>30</v>
      </c>
      <c r="D228" s="5" t="s">
        <v>19</v>
      </c>
      <c r="E228" s="5" t="s">
        <v>56</v>
      </c>
      <c r="F228" s="5" t="s">
        <v>24</v>
      </c>
      <c r="G228" s="5">
        <v>3.0</v>
      </c>
      <c r="H228" s="8">
        <v>199.0</v>
      </c>
      <c r="I228" s="8">
        <f t="shared" si="1"/>
        <v>597</v>
      </c>
      <c r="J228" s="8">
        <f>ROUND(I228*0.687,2)</f>
        <v>410.14</v>
      </c>
      <c r="K228" s="8">
        <f t="shared" si="2"/>
        <v>186.86</v>
      </c>
      <c r="L228" s="5">
        <f t="shared" si="3"/>
        <v>11</v>
      </c>
      <c r="M228" s="5" t="str">
        <f t="shared" si="4"/>
        <v>Nov</v>
      </c>
    </row>
    <row r="229" ht="15.75" customHeight="1">
      <c r="A229" s="5" t="s">
        <v>332</v>
      </c>
      <c r="B229" s="6">
        <v>45985.0</v>
      </c>
      <c r="C229" s="5" t="s">
        <v>46</v>
      </c>
      <c r="D229" s="5" t="s">
        <v>16</v>
      </c>
      <c r="E229" s="5" t="s">
        <v>117</v>
      </c>
      <c r="F229" s="5" t="s">
        <v>41</v>
      </c>
      <c r="G229" s="5">
        <v>39.0</v>
      </c>
      <c r="H229" s="8">
        <v>59.0</v>
      </c>
      <c r="I229" s="8">
        <f t="shared" si="1"/>
        <v>2301</v>
      </c>
      <c r="J229" s="8">
        <f>ROUND(I229*0.641,2)</f>
        <v>1474.94</v>
      </c>
      <c r="K229" s="8">
        <f t="shared" si="2"/>
        <v>826.06</v>
      </c>
      <c r="L229" s="5">
        <f t="shared" si="3"/>
        <v>11</v>
      </c>
      <c r="M229" s="5" t="str">
        <f t="shared" si="4"/>
        <v>Nov</v>
      </c>
    </row>
    <row r="230" ht="15.75" customHeight="1">
      <c r="A230" s="5" t="s">
        <v>333</v>
      </c>
      <c r="B230" s="6">
        <v>45986.0</v>
      </c>
      <c r="C230" s="5" t="s">
        <v>36</v>
      </c>
      <c r="D230" s="5" t="s">
        <v>16</v>
      </c>
      <c r="E230" s="5" t="s">
        <v>101</v>
      </c>
      <c r="F230" s="5" t="s">
        <v>41</v>
      </c>
      <c r="G230" s="5">
        <v>11.0</v>
      </c>
      <c r="H230" s="8">
        <v>179.0</v>
      </c>
      <c r="I230" s="8">
        <f t="shared" si="1"/>
        <v>1969</v>
      </c>
      <c r="J230" s="8">
        <f>ROUND(I230*0.627,2)</f>
        <v>1234.56</v>
      </c>
      <c r="K230" s="8">
        <f t="shared" si="2"/>
        <v>734.44</v>
      </c>
      <c r="L230" s="5">
        <f t="shared" si="3"/>
        <v>11</v>
      </c>
      <c r="M230" s="5" t="str">
        <f t="shared" si="4"/>
        <v>Nov</v>
      </c>
    </row>
    <row r="231" ht="15.75" customHeight="1">
      <c r="A231" s="5" t="s">
        <v>334</v>
      </c>
      <c r="B231" s="6">
        <v>45986.0</v>
      </c>
      <c r="C231" s="5" t="s">
        <v>30</v>
      </c>
      <c r="D231" s="5" t="s">
        <v>18</v>
      </c>
      <c r="E231" s="5" t="s">
        <v>37</v>
      </c>
      <c r="F231" s="5" t="s">
        <v>44</v>
      </c>
      <c r="G231" s="5">
        <v>40.0</v>
      </c>
      <c r="H231" s="8">
        <v>129.0</v>
      </c>
      <c r="I231" s="8">
        <f t="shared" si="1"/>
        <v>5160</v>
      </c>
      <c r="J231" s="8">
        <f>ROUND(I231*0.673,2)</f>
        <v>3472.68</v>
      </c>
      <c r="K231" s="8">
        <f t="shared" si="2"/>
        <v>1687.32</v>
      </c>
      <c r="L231" s="5">
        <f t="shared" si="3"/>
        <v>11</v>
      </c>
      <c r="M231" s="5" t="str">
        <f t="shared" si="4"/>
        <v>Nov</v>
      </c>
    </row>
    <row r="232" ht="15.75" customHeight="1">
      <c r="A232" s="5" t="s">
        <v>335</v>
      </c>
      <c r="B232" s="6">
        <v>45987.0</v>
      </c>
      <c r="C232" s="5" t="s">
        <v>22</v>
      </c>
      <c r="D232" s="5" t="s">
        <v>16</v>
      </c>
      <c r="E232" s="5" t="s">
        <v>47</v>
      </c>
      <c r="F232" s="5" t="s">
        <v>41</v>
      </c>
      <c r="G232" s="5">
        <v>28.0</v>
      </c>
      <c r="H232" s="8">
        <v>45.0</v>
      </c>
      <c r="I232" s="8">
        <f t="shared" si="1"/>
        <v>1260</v>
      </c>
      <c r="J232" s="8">
        <f>ROUND(I232*0.667,2)</f>
        <v>840.42</v>
      </c>
      <c r="K232" s="8">
        <f t="shared" si="2"/>
        <v>419.58</v>
      </c>
      <c r="L232" s="5">
        <f t="shared" si="3"/>
        <v>11</v>
      </c>
      <c r="M232" s="5" t="str">
        <f t="shared" si="4"/>
        <v>Nov</v>
      </c>
    </row>
    <row r="233" ht="15.75" customHeight="1">
      <c r="A233" s="5" t="s">
        <v>336</v>
      </c>
      <c r="B233" s="6">
        <v>45987.0</v>
      </c>
      <c r="C233" s="5" t="s">
        <v>30</v>
      </c>
      <c r="D233" s="5" t="s">
        <v>20</v>
      </c>
      <c r="E233" s="5" t="s">
        <v>43</v>
      </c>
      <c r="F233" s="5" t="s">
        <v>44</v>
      </c>
      <c r="G233" s="5">
        <v>12.0</v>
      </c>
      <c r="H233" s="8">
        <v>159.0</v>
      </c>
      <c r="I233" s="8">
        <f t="shared" si="1"/>
        <v>1908</v>
      </c>
      <c r="J233" s="8">
        <f>ROUND(I233*0.688,2)</f>
        <v>1312.7</v>
      </c>
      <c r="K233" s="8">
        <f t="shared" si="2"/>
        <v>595.3</v>
      </c>
      <c r="L233" s="5">
        <f t="shared" si="3"/>
        <v>11</v>
      </c>
      <c r="M233" s="5" t="str">
        <f t="shared" si="4"/>
        <v>Nov</v>
      </c>
    </row>
    <row r="234" ht="15.75" customHeight="1">
      <c r="A234" s="5" t="s">
        <v>337</v>
      </c>
      <c r="B234" s="6">
        <v>45988.0</v>
      </c>
      <c r="C234" s="5" t="s">
        <v>22</v>
      </c>
      <c r="D234" s="5" t="s">
        <v>19</v>
      </c>
      <c r="E234" s="5" t="s">
        <v>49</v>
      </c>
      <c r="F234" s="5" t="s">
        <v>34</v>
      </c>
      <c r="G234" s="5">
        <v>38.0</v>
      </c>
      <c r="H234" s="8">
        <v>22.0</v>
      </c>
      <c r="I234" s="8">
        <f t="shared" si="1"/>
        <v>836</v>
      </c>
      <c r="J234" s="8">
        <f>ROUND(I234*0.612,2)</f>
        <v>511.63</v>
      </c>
      <c r="K234" s="8">
        <f t="shared" si="2"/>
        <v>324.37</v>
      </c>
      <c r="L234" s="5">
        <f t="shared" si="3"/>
        <v>11</v>
      </c>
      <c r="M234" s="5" t="str">
        <f t="shared" si="4"/>
        <v>Nov</v>
      </c>
    </row>
    <row r="235" ht="15.75" customHeight="1">
      <c r="A235" s="5" t="s">
        <v>338</v>
      </c>
      <c r="B235" s="6">
        <v>45988.0</v>
      </c>
      <c r="C235" s="5" t="s">
        <v>36</v>
      </c>
      <c r="D235" s="5" t="s">
        <v>16</v>
      </c>
      <c r="E235" s="5" t="s">
        <v>47</v>
      </c>
      <c r="F235" s="5" t="s">
        <v>32</v>
      </c>
      <c r="G235" s="5">
        <v>13.0</v>
      </c>
      <c r="H235" s="8">
        <v>45.0</v>
      </c>
      <c r="I235" s="8">
        <f t="shared" si="1"/>
        <v>585</v>
      </c>
      <c r="J235" s="8">
        <f>ROUND(I235*0.715,2)</f>
        <v>418.28</v>
      </c>
      <c r="K235" s="8">
        <f t="shared" si="2"/>
        <v>166.72</v>
      </c>
      <c r="L235" s="5">
        <f t="shared" si="3"/>
        <v>11</v>
      </c>
      <c r="M235" s="5" t="str">
        <f t="shared" si="4"/>
        <v>Nov</v>
      </c>
    </row>
    <row r="236" ht="15.75" customHeight="1">
      <c r="A236" s="5" t="s">
        <v>339</v>
      </c>
      <c r="B236" s="6">
        <v>45988.0</v>
      </c>
      <c r="C236" s="5" t="s">
        <v>30</v>
      </c>
      <c r="D236" s="5" t="s">
        <v>18</v>
      </c>
      <c r="E236" s="5" t="s">
        <v>112</v>
      </c>
      <c r="F236" s="5" t="s">
        <v>24</v>
      </c>
      <c r="G236" s="5">
        <v>17.0</v>
      </c>
      <c r="H236" s="8">
        <v>89.0</v>
      </c>
      <c r="I236" s="8">
        <f t="shared" si="1"/>
        <v>1513</v>
      </c>
      <c r="J236" s="8">
        <f>ROUND(I236*0.584,2)</f>
        <v>883.59</v>
      </c>
      <c r="K236" s="8">
        <f t="shared" si="2"/>
        <v>629.41</v>
      </c>
      <c r="L236" s="5">
        <f t="shared" si="3"/>
        <v>11</v>
      </c>
      <c r="M236" s="5" t="str">
        <f t="shared" si="4"/>
        <v>Nov</v>
      </c>
    </row>
    <row r="237" ht="15.75" customHeight="1">
      <c r="A237" s="5" t="s">
        <v>340</v>
      </c>
      <c r="B237" s="6">
        <v>45989.0</v>
      </c>
      <c r="C237" s="5" t="s">
        <v>36</v>
      </c>
      <c r="D237" s="5" t="s">
        <v>16</v>
      </c>
      <c r="E237" s="5" t="s">
        <v>47</v>
      </c>
      <c r="F237" s="5" t="s">
        <v>41</v>
      </c>
      <c r="G237" s="5">
        <v>7.0</v>
      </c>
      <c r="H237" s="8">
        <v>45.0</v>
      </c>
      <c r="I237" s="8">
        <f t="shared" si="1"/>
        <v>315</v>
      </c>
      <c r="J237" s="8">
        <f>ROUND(I237*0.624,2)</f>
        <v>196.56</v>
      </c>
      <c r="K237" s="8">
        <f t="shared" si="2"/>
        <v>118.44</v>
      </c>
      <c r="L237" s="5">
        <f t="shared" si="3"/>
        <v>11</v>
      </c>
      <c r="M237" s="5" t="str">
        <f t="shared" si="4"/>
        <v>Nov</v>
      </c>
    </row>
    <row r="238" ht="15.75" customHeight="1">
      <c r="A238" s="5" t="s">
        <v>341</v>
      </c>
      <c r="B238" s="6">
        <v>45989.0</v>
      </c>
      <c r="C238" s="5" t="s">
        <v>30</v>
      </c>
      <c r="D238" s="5" t="s">
        <v>19</v>
      </c>
      <c r="E238" s="5" t="s">
        <v>94</v>
      </c>
      <c r="F238" s="5" t="s">
        <v>34</v>
      </c>
      <c r="G238" s="5">
        <v>22.0</v>
      </c>
      <c r="H238" s="8">
        <v>29.0</v>
      </c>
      <c r="I238" s="8">
        <f t="shared" si="1"/>
        <v>638</v>
      </c>
      <c r="J238" s="8">
        <f>ROUND(I238*0.596,2)</f>
        <v>380.25</v>
      </c>
      <c r="K238" s="8">
        <f t="shared" si="2"/>
        <v>257.75</v>
      </c>
      <c r="L238" s="5">
        <f t="shared" si="3"/>
        <v>11</v>
      </c>
      <c r="M238" s="5" t="str">
        <f t="shared" si="4"/>
        <v>Nov</v>
      </c>
    </row>
    <row r="239" ht="15.75" customHeight="1">
      <c r="A239" s="5" t="s">
        <v>342</v>
      </c>
      <c r="B239" s="6">
        <v>45990.0</v>
      </c>
      <c r="C239" s="5" t="s">
        <v>36</v>
      </c>
      <c r="D239" s="5" t="s">
        <v>18</v>
      </c>
      <c r="E239" s="5" t="s">
        <v>37</v>
      </c>
      <c r="F239" s="5" t="s">
        <v>34</v>
      </c>
      <c r="G239" s="5">
        <v>19.0</v>
      </c>
      <c r="H239" s="8">
        <v>129.0</v>
      </c>
      <c r="I239" s="8">
        <f t="shared" si="1"/>
        <v>2451</v>
      </c>
      <c r="J239" s="8">
        <f>ROUND(I239*0.706,2)</f>
        <v>1730.41</v>
      </c>
      <c r="K239" s="8">
        <f t="shared" si="2"/>
        <v>720.59</v>
      </c>
      <c r="L239" s="5">
        <f t="shared" si="3"/>
        <v>11</v>
      </c>
      <c r="M239" s="5" t="str">
        <f t="shared" si="4"/>
        <v>Nov</v>
      </c>
    </row>
    <row r="240" ht="15.75" customHeight="1">
      <c r="A240" s="5" t="s">
        <v>343</v>
      </c>
      <c r="B240" s="6">
        <v>45991.0</v>
      </c>
      <c r="C240" s="5" t="s">
        <v>22</v>
      </c>
      <c r="D240" s="5" t="s">
        <v>16</v>
      </c>
      <c r="E240" s="5" t="s">
        <v>40</v>
      </c>
      <c r="F240" s="5" t="s">
        <v>24</v>
      </c>
      <c r="G240" s="5">
        <v>2.0</v>
      </c>
      <c r="H240" s="8">
        <v>289.0</v>
      </c>
      <c r="I240" s="8">
        <f t="shared" si="1"/>
        <v>578</v>
      </c>
      <c r="J240" s="8">
        <f>ROUND(I240*0.656,2)</f>
        <v>379.17</v>
      </c>
      <c r="K240" s="8">
        <f t="shared" si="2"/>
        <v>198.83</v>
      </c>
      <c r="L240" s="5">
        <f t="shared" si="3"/>
        <v>11</v>
      </c>
      <c r="M240" s="5" t="str">
        <f t="shared" si="4"/>
        <v>Nov</v>
      </c>
    </row>
    <row r="241" ht="15.75" customHeight="1">
      <c r="A241" s="5" t="s">
        <v>344</v>
      </c>
      <c r="B241" s="6">
        <v>45995.0</v>
      </c>
      <c r="C241" s="5" t="s">
        <v>46</v>
      </c>
      <c r="D241" s="5" t="s">
        <v>19</v>
      </c>
      <c r="E241" s="5" t="s">
        <v>49</v>
      </c>
      <c r="F241" s="5" t="s">
        <v>41</v>
      </c>
      <c r="G241" s="5">
        <v>30.0</v>
      </c>
      <c r="H241" s="8">
        <v>22.0</v>
      </c>
      <c r="I241" s="8">
        <f t="shared" si="1"/>
        <v>660</v>
      </c>
      <c r="J241" s="8">
        <f>ROUND(I241*0.697,2)</f>
        <v>460.02</v>
      </c>
      <c r="K241" s="8">
        <f t="shared" si="2"/>
        <v>199.98</v>
      </c>
      <c r="L241" s="5">
        <f t="shared" si="3"/>
        <v>12</v>
      </c>
      <c r="M241" s="5" t="str">
        <f t="shared" si="4"/>
        <v>Dec</v>
      </c>
    </row>
    <row r="242" ht="15.75" customHeight="1">
      <c r="A242" s="5" t="s">
        <v>345</v>
      </c>
      <c r="B242" s="6">
        <v>45997.0</v>
      </c>
      <c r="C242" s="5" t="s">
        <v>22</v>
      </c>
      <c r="D242" s="5" t="s">
        <v>19</v>
      </c>
      <c r="E242" s="5" t="s">
        <v>94</v>
      </c>
      <c r="F242" s="5" t="s">
        <v>44</v>
      </c>
      <c r="G242" s="5">
        <v>27.0</v>
      </c>
      <c r="H242" s="8">
        <v>29.0</v>
      </c>
      <c r="I242" s="8">
        <f t="shared" si="1"/>
        <v>783</v>
      </c>
      <c r="J242" s="8">
        <f>ROUND(I242*0.605,2)</f>
        <v>473.72</v>
      </c>
      <c r="K242" s="8">
        <f t="shared" si="2"/>
        <v>309.28</v>
      </c>
      <c r="L242" s="5">
        <f t="shared" si="3"/>
        <v>12</v>
      </c>
      <c r="M242" s="5" t="str">
        <f t="shared" si="4"/>
        <v>Dec</v>
      </c>
    </row>
    <row r="243" ht="15.75" customHeight="1">
      <c r="A243" s="5" t="s">
        <v>346</v>
      </c>
      <c r="B243" s="6">
        <v>46000.0</v>
      </c>
      <c r="C243" s="5" t="s">
        <v>46</v>
      </c>
      <c r="D243" s="5" t="s">
        <v>19</v>
      </c>
      <c r="E243" s="5" t="s">
        <v>56</v>
      </c>
      <c r="F243" s="5" t="s">
        <v>41</v>
      </c>
      <c r="G243" s="5">
        <v>21.0</v>
      </c>
      <c r="H243" s="8">
        <v>199.0</v>
      </c>
      <c r="I243" s="8">
        <f t="shared" si="1"/>
        <v>4179</v>
      </c>
      <c r="J243" s="8">
        <f>ROUND(I243*0.581,2)</f>
        <v>2428</v>
      </c>
      <c r="K243" s="8">
        <f t="shared" si="2"/>
        <v>1751</v>
      </c>
      <c r="L243" s="5">
        <f t="shared" si="3"/>
        <v>12</v>
      </c>
      <c r="M243" s="5" t="str">
        <f t="shared" si="4"/>
        <v>Dec</v>
      </c>
    </row>
    <row r="244" ht="15.75" customHeight="1">
      <c r="A244" s="5" t="s">
        <v>347</v>
      </c>
      <c r="B244" s="6">
        <v>46001.0</v>
      </c>
      <c r="C244" s="5" t="s">
        <v>22</v>
      </c>
      <c r="D244" s="5" t="s">
        <v>20</v>
      </c>
      <c r="E244" s="5" t="s">
        <v>31</v>
      </c>
      <c r="F244" s="5" t="s">
        <v>44</v>
      </c>
      <c r="G244" s="5">
        <v>28.0</v>
      </c>
      <c r="H244" s="8">
        <v>69.0</v>
      </c>
      <c r="I244" s="8">
        <f t="shared" si="1"/>
        <v>1932</v>
      </c>
      <c r="J244" s="8">
        <f>ROUND(I244*0.698,2)</f>
        <v>1348.54</v>
      </c>
      <c r="K244" s="8">
        <f t="shared" si="2"/>
        <v>583.46</v>
      </c>
      <c r="L244" s="5">
        <f t="shared" si="3"/>
        <v>12</v>
      </c>
      <c r="M244" s="5" t="str">
        <f t="shared" si="4"/>
        <v>Dec</v>
      </c>
    </row>
    <row r="245" ht="15.75" customHeight="1">
      <c r="A245" s="5" t="s">
        <v>348</v>
      </c>
      <c r="B245" s="6">
        <v>46001.0</v>
      </c>
      <c r="C245" s="5" t="s">
        <v>46</v>
      </c>
      <c r="D245" s="5" t="s">
        <v>19</v>
      </c>
      <c r="E245" s="5" t="s">
        <v>56</v>
      </c>
      <c r="F245" s="5" t="s">
        <v>32</v>
      </c>
      <c r="G245" s="5">
        <v>20.0</v>
      </c>
      <c r="H245" s="8">
        <v>199.0</v>
      </c>
      <c r="I245" s="8">
        <f t="shared" si="1"/>
        <v>3980</v>
      </c>
      <c r="J245" s="8">
        <f>ROUND(I245*0.581,2)</f>
        <v>2312.38</v>
      </c>
      <c r="K245" s="8">
        <f t="shared" si="2"/>
        <v>1667.62</v>
      </c>
      <c r="L245" s="5">
        <f t="shared" si="3"/>
        <v>12</v>
      </c>
      <c r="M245" s="5" t="str">
        <f t="shared" si="4"/>
        <v>Dec</v>
      </c>
    </row>
    <row r="246" ht="15.75" customHeight="1">
      <c r="A246" s="5" t="s">
        <v>349</v>
      </c>
      <c r="B246" s="6">
        <v>46003.0</v>
      </c>
      <c r="C246" s="5" t="s">
        <v>30</v>
      </c>
      <c r="D246" s="5" t="s">
        <v>20</v>
      </c>
      <c r="E246" s="5" t="s">
        <v>105</v>
      </c>
      <c r="F246" s="5" t="s">
        <v>38</v>
      </c>
      <c r="G246" s="5">
        <v>16.0</v>
      </c>
      <c r="H246" s="8">
        <v>24.0</v>
      </c>
      <c r="I246" s="8">
        <f t="shared" si="1"/>
        <v>384</v>
      </c>
      <c r="J246" s="8">
        <f>ROUND(I246*0.648,2)</f>
        <v>248.83</v>
      </c>
      <c r="K246" s="8">
        <f t="shared" si="2"/>
        <v>135.17</v>
      </c>
      <c r="L246" s="5">
        <f t="shared" si="3"/>
        <v>12</v>
      </c>
      <c r="M246" s="5" t="str">
        <f t="shared" si="4"/>
        <v>Dec</v>
      </c>
    </row>
    <row r="247" ht="15.75" customHeight="1">
      <c r="A247" s="5" t="s">
        <v>350</v>
      </c>
      <c r="B247" s="6">
        <v>46005.0</v>
      </c>
      <c r="C247" s="5" t="s">
        <v>46</v>
      </c>
      <c r="D247" s="5" t="s">
        <v>16</v>
      </c>
      <c r="E247" s="5" t="s">
        <v>40</v>
      </c>
      <c r="F247" s="5" t="s">
        <v>34</v>
      </c>
      <c r="G247" s="5">
        <v>16.0</v>
      </c>
      <c r="H247" s="8">
        <v>289.0</v>
      </c>
      <c r="I247" s="8">
        <f t="shared" si="1"/>
        <v>4624</v>
      </c>
      <c r="J247" s="8">
        <f>ROUND(I247*0.682,2)</f>
        <v>3153.57</v>
      </c>
      <c r="K247" s="8">
        <f t="shared" si="2"/>
        <v>1470.43</v>
      </c>
      <c r="L247" s="5">
        <f t="shared" si="3"/>
        <v>12</v>
      </c>
      <c r="M247" s="5" t="str">
        <f t="shared" si="4"/>
        <v>Dec</v>
      </c>
    </row>
    <row r="248" ht="15.75" customHeight="1">
      <c r="A248" s="5" t="s">
        <v>351</v>
      </c>
      <c r="B248" s="6">
        <v>46006.0</v>
      </c>
      <c r="C248" s="5" t="s">
        <v>46</v>
      </c>
      <c r="D248" s="5" t="s">
        <v>16</v>
      </c>
      <c r="E248" s="5" t="s">
        <v>47</v>
      </c>
      <c r="F248" s="5" t="s">
        <v>41</v>
      </c>
      <c r="G248" s="5">
        <v>39.0</v>
      </c>
      <c r="H248" s="8">
        <v>45.0</v>
      </c>
      <c r="I248" s="8">
        <f t="shared" si="1"/>
        <v>1755</v>
      </c>
      <c r="J248" s="8">
        <f>ROUND(I248*0.719,2)</f>
        <v>1261.85</v>
      </c>
      <c r="K248" s="8">
        <f t="shared" si="2"/>
        <v>493.15</v>
      </c>
      <c r="L248" s="5">
        <f t="shared" si="3"/>
        <v>12</v>
      </c>
      <c r="M248" s="5" t="str">
        <f t="shared" si="4"/>
        <v>Dec</v>
      </c>
    </row>
    <row r="249" ht="15.75" customHeight="1">
      <c r="A249" s="5" t="s">
        <v>352</v>
      </c>
      <c r="B249" s="6">
        <v>46006.0</v>
      </c>
      <c r="C249" s="5" t="s">
        <v>36</v>
      </c>
      <c r="D249" s="5" t="s">
        <v>18</v>
      </c>
      <c r="E249" s="5" t="s">
        <v>37</v>
      </c>
      <c r="F249" s="5" t="s">
        <v>24</v>
      </c>
      <c r="G249" s="5">
        <v>28.0</v>
      </c>
      <c r="H249" s="8">
        <v>129.0</v>
      </c>
      <c r="I249" s="8">
        <f t="shared" si="1"/>
        <v>3612</v>
      </c>
      <c r="J249" s="8">
        <f>ROUND(I249*0.635,2)</f>
        <v>2293.62</v>
      </c>
      <c r="K249" s="8">
        <f t="shared" si="2"/>
        <v>1318.38</v>
      </c>
      <c r="L249" s="5">
        <f t="shared" si="3"/>
        <v>12</v>
      </c>
      <c r="M249" s="5" t="str">
        <f t="shared" si="4"/>
        <v>Dec</v>
      </c>
    </row>
    <row r="250" ht="15.75" customHeight="1">
      <c r="A250" s="5" t="s">
        <v>353</v>
      </c>
      <c r="B250" s="6">
        <v>46009.0</v>
      </c>
      <c r="C250" s="5" t="s">
        <v>22</v>
      </c>
      <c r="D250" s="5" t="s">
        <v>18</v>
      </c>
      <c r="E250" s="5" t="s">
        <v>37</v>
      </c>
      <c r="F250" s="5" t="s">
        <v>38</v>
      </c>
      <c r="G250" s="5">
        <v>20.0</v>
      </c>
      <c r="H250" s="8">
        <v>129.0</v>
      </c>
      <c r="I250" s="8">
        <f t="shared" si="1"/>
        <v>2580</v>
      </c>
      <c r="J250" s="8">
        <f>ROUND(I250*0.564,2)</f>
        <v>1455.12</v>
      </c>
      <c r="K250" s="8">
        <f t="shared" si="2"/>
        <v>1124.88</v>
      </c>
      <c r="L250" s="5">
        <f t="shared" si="3"/>
        <v>12</v>
      </c>
      <c r="M250" s="5" t="str">
        <f t="shared" si="4"/>
        <v>Dec</v>
      </c>
    </row>
    <row r="251" ht="15.75" customHeight="1">
      <c r="A251" s="5" t="s">
        <v>354</v>
      </c>
      <c r="B251" s="6">
        <v>46011.0</v>
      </c>
      <c r="C251" s="5" t="s">
        <v>30</v>
      </c>
      <c r="D251" s="5" t="s">
        <v>19</v>
      </c>
      <c r="E251" s="5" t="s">
        <v>49</v>
      </c>
      <c r="F251" s="5" t="s">
        <v>44</v>
      </c>
      <c r="G251" s="5">
        <v>24.0</v>
      </c>
      <c r="H251" s="8">
        <v>22.0</v>
      </c>
      <c r="I251" s="8">
        <f t="shared" si="1"/>
        <v>528</v>
      </c>
      <c r="J251" s="8">
        <f>ROUND(I251*0.624,2)</f>
        <v>329.47</v>
      </c>
      <c r="K251" s="8">
        <f t="shared" si="2"/>
        <v>198.53</v>
      </c>
      <c r="L251" s="5">
        <f t="shared" si="3"/>
        <v>12</v>
      </c>
      <c r="M251" s="5" t="str">
        <f t="shared" si="4"/>
        <v>Dec</v>
      </c>
    </row>
    <row r="252" ht="15.75" customHeight="1">
      <c r="A252" s="5" t="s">
        <v>355</v>
      </c>
      <c r="B252" s="6">
        <v>46011.0</v>
      </c>
      <c r="C252" s="5" t="s">
        <v>30</v>
      </c>
      <c r="D252" s="5" t="s">
        <v>16</v>
      </c>
      <c r="E252" s="5" t="s">
        <v>101</v>
      </c>
      <c r="F252" s="5" t="s">
        <v>44</v>
      </c>
      <c r="G252" s="5">
        <v>39.0</v>
      </c>
      <c r="H252" s="8">
        <v>179.0</v>
      </c>
      <c r="I252" s="8">
        <f t="shared" si="1"/>
        <v>6981</v>
      </c>
      <c r="J252" s="8">
        <f>ROUND(I252*0.687,2)</f>
        <v>4795.95</v>
      </c>
      <c r="K252" s="8">
        <f t="shared" si="2"/>
        <v>2185.05</v>
      </c>
      <c r="L252" s="5">
        <f t="shared" si="3"/>
        <v>12</v>
      </c>
      <c r="M252" s="5" t="str">
        <f t="shared" si="4"/>
        <v>Dec</v>
      </c>
    </row>
    <row r="253" ht="15.75" customHeight="1">
      <c r="A253" s="5" t="s">
        <v>356</v>
      </c>
      <c r="B253" s="6">
        <v>46011.0</v>
      </c>
      <c r="C253" s="5" t="s">
        <v>30</v>
      </c>
      <c r="D253" s="5" t="s">
        <v>18</v>
      </c>
      <c r="E253" s="5" t="s">
        <v>37</v>
      </c>
      <c r="F253" s="5" t="s">
        <v>44</v>
      </c>
      <c r="G253" s="5">
        <v>31.0</v>
      </c>
      <c r="H253" s="8">
        <v>129.0</v>
      </c>
      <c r="I253" s="8">
        <f t="shared" si="1"/>
        <v>3999</v>
      </c>
      <c r="J253" s="8">
        <f>ROUND(I253*0.597,2)</f>
        <v>2387.4</v>
      </c>
      <c r="K253" s="8">
        <f t="shared" si="2"/>
        <v>1611.6</v>
      </c>
      <c r="L253" s="5">
        <f t="shared" si="3"/>
        <v>12</v>
      </c>
      <c r="M253" s="5" t="str">
        <f t="shared" si="4"/>
        <v>Dec</v>
      </c>
    </row>
    <row r="254" ht="15.75" customHeight="1">
      <c r="A254" s="5" t="s">
        <v>357</v>
      </c>
      <c r="B254" s="6">
        <v>46014.0</v>
      </c>
      <c r="C254" s="5" t="s">
        <v>36</v>
      </c>
      <c r="D254" s="5" t="s">
        <v>18</v>
      </c>
      <c r="E254" s="5" t="s">
        <v>37</v>
      </c>
      <c r="F254" s="5" t="s">
        <v>41</v>
      </c>
      <c r="G254" s="5">
        <v>25.0</v>
      </c>
      <c r="H254" s="8">
        <v>129.0</v>
      </c>
      <c r="I254" s="8">
        <f t="shared" si="1"/>
        <v>3225</v>
      </c>
      <c r="J254" s="8">
        <f>ROUND(I254*0.665,2)</f>
        <v>2144.63</v>
      </c>
      <c r="K254" s="8">
        <f t="shared" si="2"/>
        <v>1080.37</v>
      </c>
      <c r="L254" s="5">
        <f t="shared" si="3"/>
        <v>12</v>
      </c>
      <c r="M254" s="5" t="str">
        <f t="shared" si="4"/>
        <v>Dec</v>
      </c>
    </row>
    <row r="255" ht="15.75" customHeight="1">
      <c r="A255" s="5" t="s">
        <v>358</v>
      </c>
      <c r="B255" s="6">
        <v>46014.0</v>
      </c>
      <c r="C255" s="5" t="s">
        <v>46</v>
      </c>
      <c r="D255" s="5" t="s">
        <v>20</v>
      </c>
      <c r="E255" s="5" t="s">
        <v>43</v>
      </c>
      <c r="F255" s="5" t="s">
        <v>24</v>
      </c>
      <c r="G255" s="5">
        <v>10.0</v>
      </c>
      <c r="H255" s="8">
        <v>159.0</v>
      </c>
      <c r="I255" s="8">
        <f t="shared" si="1"/>
        <v>1590</v>
      </c>
      <c r="J255" s="8">
        <f>ROUND(I255*0.662,2)</f>
        <v>1052.58</v>
      </c>
      <c r="K255" s="8">
        <f t="shared" si="2"/>
        <v>537.42</v>
      </c>
      <c r="L255" s="5">
        <f t="shared" si="3"/>
        <v>12</v>
      </c>
      <c r="M255" s="5" t="str">
        <f t="shared" si="4"/>
        <v>Dec</v>
      </c>
    </row>
    <row r="256" ht="15.75" customHeight="1">
      <c r="A256" s="5" t="s">
        <v>359</v>
      </c>
      <c r="B256" s="6">
        <v>46015.0</v>
      </c>
      <c r="C256" s="5" t="s">
        <v>30</v>
      </c>
      <c r="D256" s="5" t="s">
        <v>20</v>
      </c>
      <c r="E256" s="5" t="s">
        <v>105</v>
      </c>
      <c r="F256" s="5" t="s">
        <v>34</v>
      </c>
      <c r="G256" s="5">
        <v>37.0</v>
      </c>
      <c r="H256" s="8">
        <v>24.0</v>
      </c>
      <c r="I256" s="8">
        <f t="shared" si="1"/>
        <v>888</v>
      </c>
      <c r="J256" s="8">
        <f>ROUND(I256*0.598,2)</f>
        <v>531.02</v>
      </c>
      <c r="K256" s="8">
        <f t="shared" si="2"/>
        <v>356.98</v>
      </c>
      <c r="L256" s="5">
        <f t="shared" si="3"/>
        <v>12</v>
      </c>
      <c r="M256" s="5" t="str">
        <f t="shared" si="4"/>
        <v>Dec</v>
      </c>
    </row>
    <row r="257" ht="15.75" customHeight="1">
      <c r="A257" s="5" t="s">
        <v>360</v>
      </c>
      <c r="B257" s="6">
        <v>46017.0</v>
      </c>
      <c r="C257" s="5" t="s">
        <v>22</v>
      </c>
      <c r="D257" s="5" t="s">
        <v>18</v>
      </c>
      <c r="E257" s="5" t="s">
        <v>37</v>
      </c>
      <c r="F257" s="5" t="s">
        <v>24</v>
      </c>
      <c r="G257" s="5">
        <v>30.0</v>
      </c>
      <c r="H257" s="8">
        <v>129.0</v>
      </c>
      <c r="I257" s="8">
        <f t="shared" si="1"/>
        <v>3870</v>
      </c>
      <c r="J257" s="8">
        <f>ROUND(I257*0.615,2)</f>
        <v>2380.05</v>
      </c>
      <c r="K257" s="8">
        <f t="shared" si="2"/>
        <v>1489.95</v>
      </c>
      <c r="L257" s="5">
        <f t="shared" si="3"/>
        <v>12</v>
      </c>
      <c r="M257" s="5" t="str">
        <f t="shared" si="4"/>
        <v>Dec</v>
      </c>
    </row>
    <row r="258" ht="15.75" customHeight="1">
      <c r="A258" s="5" t="s">
        <v>361</v>
      </c>
      <c r="B258" s="6">
        <v>46021.0</v>
      </c>
      <c r="C258" s="5" t="s">
        <v>30</v>
      </c>
      <c r="D258" s="5" t="s">
        <v>19</v>
      </c>
      <c r="E258" s="5" t="s">
        <v>56</v>
      </c>
      <c r="F258" s="5" t="s">
        <v>38</v>
      </c>
      <c r="G258" s="5">
        <v>27.0</v>
      </c>
      <c r="H258" s="8">
        <v>199.0</v>
      </c>
      <c r="I258" s="8">
        <f t="shared" si="1"/>
        <v>5373</v>
      </c>
      <c r="J258" s="8">
        <f>ROUND(I258*0.566,2)</f>
        <v>3041.12</v>
      </c>
      <c r="K258" s="8">
        <f t="shared" si="2"/>
        <v>2331.88</v>
      </c>
      <c r="L258" s="5">
        <f t="shared" si="3"/>
        <v>12</v>
      </c>
      <c r="M258" s="5" t="str">
        <f t="shared" si="4"/>
        <v>Dec</v>
      </c>
    </row>
    <row r="259" ht="15.75" customHeight="1">
      <c r="A259" s="5" t="s">
        <v>362</v>
      </c>
      <c r="B259" s="6">
        <v>46021.0</v>
      </c>
      <c r="C259" s="5" t="s">
        <v>22</v>
      </c>
      <c r="D259" s="5" t="s">
        <v>19</v>
      </c>
      <c r="E259" s="5" t="s">
        <v>94</v>
      </c>
      <c r="F259" s="5" t="s">
        <v>24</v>
      </c>
      <c r="G259" s="5">
        <v>12.0</v>
      </c>
      <c r="H259" s="8">
        <v>29.0</v>
      </c>
      <c r="I259" s="8">
        <f t="shared" si="1"/>
        <v>348</v>
      </c>
      <c r="J259" s="8">
        <f>ROUND(I259*0.685,2)</f>
        <v>238.38</v>
      </c>
      <c r="K259" s="8">
        <f t="shared" si="2"/>
        <v>109.62</v>
      </c>
      <c r="L259" s="5">
        <f t="shared" si="3"/>
        <v>12</v>
      </c>
      <c r="M259" s="5" t="str">
        <f t="shared" si="4"/>
        <v>Dec</v>
      </c>
    </row>
    <row r="260" ht="15.75" customHeight="1">
      <c r="A260" s="5" t="s">
        <v>363</v>
      </c>
      <c r="B260" s="6">
        <v>46021.0</v>
      </c>
      <c r="C260" s="5" t="s">
        <v>30</v>
      </c>
      <c r="D260" s="5" t="s">
        <v>19</v>
      </c>
      <c r="E260" s="5" t="s">
        <v>94</v>
      </c>
      <c r="F260" s="5" t="s">
        <v>34</v>
      </c>
      <c r="G260" s="5">
        <v>17.0</v>
      </c>
      <c r="H260" s="8">
        <v>29.0</v>
      </c>
      <c r="I260" s="8">
        <f t="shared" si="1"/>
        <v>493</v>
      </c>
      <c r="J260" s="8">
        <f>ROUND(I260*0.583,2)</f>
        <v>287.42</v>
      </c>
      <c r="K260" s="8">
        <f t="shared" si="2"/>
        <v>205.58</v>
      </c>
      <c r="L260" s="5">
        <f t="shared" si="3"/>
        <v>12</v>
      </c>
      <c r="M260" s="5" t="str">
        <f t="shared" si="4"/>
        <v>Dec</v>
      </c>
    </row>
    <row r="261" ht="15.75" customHeight="1">
      <c r="A261" s="5" t="s">
        <v>364</v>
      </c>
      <c r="B261" s="6">
        <v>46022.0</v>
      </c>
      <c r="C261" s="5" t="s">
        <v>22</v>
      </c>
      <c r="D261" s="5" t="s">
        <v>19</v>
      </c>
      <c r="E261" s="5" t="s">
        <v>56</v>
      </c>
      <c r="F261" s="5" t="s">
        <v>24</v>
      </c>
      <c r="G261" s="5">
        <v>18.0</v>
      </c>
      <c r="H261" s="8">
        <v>199.0</v>
      </c>
      <c r="I261" s="8">
        <f t="shared" si="1"/>
        <v>3582</v>
      </c>
      <c r="J261" s="8">
        <f>ROUND(I261*0.626,2)</f>
        <v>2242.33</v>
      </c>
      <c r="K261" s="8">
        <f t="shared" si="2"/>
        <v>1339.67</v>
      </c>
      <c r="L261" s="5">
        <f t="shared" si="3"/>
        <v>12</v>
      </c>
      <c r="M261" s="5" t="str">
        <f t="shared" si="4"/>
        <v>Dec</v>
      </c>
    </row>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paperSize="9"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8.0"/>
    <col customWidth="1" min="2" max="4" width="14.0"/>
    <col customWidth="1" min="5" max="5" width="16.0"/>
    <col customWidth="1" min="6" max="26" width="8.71"/>
  </cols>
  <sheetData>
    <row r="1">
      <c r="A1" s="2" t="s">
        <v>1</v>
      </c>
    </row>
    <row r="2">
      <c r="A2" s="3" t="s">
        <v>5</v>
      </c>
    </row>
    <row r="4">
      <c r="A4" s="4" t="s">
        <v>10</v>
      </c>
    </row>
    <row r="5">
      <c r="A5" s="1" t="s">
        <v>3</v>
      </c>
      <c r="B5" s="1" t="s">
        <v>16</v>
      </c>
      <c r="C5" s="1" t="s">
        <v>18</v>
      </c>
      <c r="D5" s="1" t="s">
        <v>19</v>
      </c>
      <c r="E5" s="1" t="s">
        <v>20</v>
      </c>
      <c r="F5" s="1" t="s">
        <v>21</v>
      </c>
    </row>
    <row r="6">
      <c r="A6" s="7" t="s">
        <v>22</v>
      </c>
      <c r="B6" s="11">
        <f>SUMIFS('Raw Data'!$I$2:$I$261,'Raw Data'!$C$2:$C$261,$A6,'Raw Data'!$D$2:$D$261,B$5)</f>
        <v>36003</v>
      </c>
      <c r="C6" s="11">
        <f>SUMIFS('Raw Data'!$I$2:$I$261,'Raw Data'!$C$2:$C$261,$A6,'Raw Data'!$D$2:$D$261,C$5)</f>
        <v>23798</v>
      </c>
      <c r="D6" s="11">
        <f>SUMIFS('Raw Data'!$I$2:$I$261,'Raw Data'!$C$2:$C$261,$A6,'Raw Data'!$D$2:$D$261,D$5)</f>
        <v>31555</v>
      </c>
      <c r="E6" s="11">
        <f>SUMIFS('Raw Data'!$I$2:$I$261,'Raw Data'!$C$2:$C$261,$A6,'Raw Data'!$D$2:$D$261,E$5)</f>
        <v>28465</v>
      </c>
      <c r="F6" s="12">
        <f t="shared" ref="F6:F9" si="1">SUM(B6:E6)</f>
        <v>119821</v>
      </c>
    </row>
    <row r="7">
      <c r="A7" s="7" t="s">
        <v>30</v>
      </c>
      <c r="B7" s="11">
        <f>SUMIFS('Raw Data'!$I$2:$I$261,'Raw Data'!$C$2:$C$261,$A7,'Raw Data'!$D$2:$D$261,B$5)</f>
        <v>47938</v>
      </c>
      <c r="C7" s="11">
        <f>SUMIFS('Raw Data'!$I$2:$I$261,'Raw Data'!$C$2:$C$261,$A7,'Raw Data'!$D$2:$D$261,C$5)</f>
        <v>23189</v>
      </c>
      <c r="D7" s="11">
        <f>SUMIFS('Raw Data'!$I$2:$I$261,'Raw Data'!$C$2:$C$261,$A7,'Raw Data'!$D$2:$D$261,D$5)</f>
        <v>34335</v>
      </c>
      <c r="E7" s="11">
        <f>SUMIFS('Raw Data'!$I$2:$I$261,'Raw Data'!$C$2:$C$261,$A7,'Raw Data'!$D$2:$D$261,E$5)</f>
        <v>28814</v>
      </c>
      <c r="F7" s="12">
        <f t="shared" si="1"/>
        <v>134276</v>
      </c>
    </row>
    <row r="8">
      <c r="A8" s="7" t="s">
        <v>36</v>
      </c>
      <c r="B8" s="11">
        <f>SUMIFS('Raw Data'!$I$2:$I$261,'Raw Data'!$C$2:$C$261,$A8,'Raw Data'!$D$2:$D$261,B$5)</f>
        <v>63207</v>
      </c>
      <c r="C8" s="11">
        <f>SUMIFS('Raw Data'!$I$2:$I$261,'Raw Data'!$C$2:$C$261,$A8,'Raw Data'!$D$2:$D$261,C$5)</f>
        <v>28927</v>
      </c>
      <c r="D8" s="11">
        <f>SUMIFS('Raw Data'!$I$2:$I$261,'Raw Data'!$C$2:$C$261,$A8,'Raw Data'!$D$2:$D$261,D$5)</f>
        <v>28975</v>
      </c>
      <c r="E8" s="11">
        <f>SUMIFS('Raw Data'!$I$2:$I$261,'Raw Data'!$C$2:$C$261,$A8,'Raw Data'!$D$2:$D$261,E$5)</f>
        <v>42042</v>
      </c>
      <c r="F8" s="12">
        <f t="shared" si="1"/>
        <v>163151</v>
      </c>
    </row>
    <row r="9">
      <c r="A9" s="7" t="s">
        <v>46</v>
      </c>
      <c r="B9" s="11">
        <f>SUMIFS('Raw Data'!$I$2:$I$261,'Raw Data'!$C$2:$C$261,$A9,'Raw Data'!$D$2:$D$261,B$5)</f>
        <v>45098</v>
      </c>
      <c r="C9" s="11">
        <f>SUMIFS('Raw Data'!$I$2:$I$261,'Raw Data'!$C$2:$C$261,$A9,'Raw Data'!$D$2:$D$261,C$5)</f>
        <v>19936</v>
      </c>
      <c r="D9" s="11">
        <f>SUMIFS('Raw Data'!$I$2:$I$261,'Raw Data'!$C$2:$C$261,$A9,'Raw Data'!$D$2:$D$261,D$5)</f>
        <v>21467</v>
      </c>
      <c r="E9" s="11">
        <f>SUMIFS('Raw Data'!$I$2:$I$261,'Raw Data'!$C$2:$C$261,$A9,'Raw Data'!$D$2:$D$261,E$5)</f>
        <v>23693</v>
      </c>
      <c r="F9" s="12">
        <f t="shared" si="1"/>
        <v>110194</v>
      </c>
    </row>
    <row r="10">
      <c r="A10" s="7" t="s">
        <v>21</v>
      </c>
      <c r="B10" s="12">
        <f t="shared" ref="B10:F10" si="2">SUM(B6:B9)</f>
        <v>192246</v>
      </c>
      <c r="C10" s="12">
        <f t="shared" si="2"/>
        <v>95850</v>
      </c>
      <c r="D10" s="12">
        <f t="shared" si="2"/>
        <v>116332</v>
      </c>
      <c r="E10" s="12">
        <f t="shared" si="2"/>
        <v>123014</v>
      </c>
      <c r="F10" s="12">
        <f t="shared" si="2"/>
        <v>527442</v>
      </c>
    </row>
    <row r="13">
      <c r="A13" s="4" t="s">
        <v>53</v>
      </c>
    </row>
    <row r="14">
      <c r="A14" s="1" t="s">
        <v>15</v>
      </c>
      <c r="B14" s="1" t="s">
        <v>11</v>
      </c>
      <c r="C14" s="1" t="s">
        <v>13</v>
      </c>
      <c r="D14" s="1" t="s">
        <v>55</v>
      </c>
    </row>
    <row r="15">
      <c r="A15" s="13" t="s">
        <v>57</v>
      </c>
      <c r="B15" s="11">
        <f>SUMIFS('Raw Data'!$I$2:$I$261,'Raw Data'!$L$2:$L$261,1)</f>
        <v>49559</v>
      </c>
      <c r="C15" s="11">
        <f>SUMIFS('Raw Data'!$K$2:$K$261,'Raw Data'!$L$2:$L$261,1)</f>
        <v>18668.01</v>
      </c>
      <c r="D15" s="16">
        <f>SUMIFS('Raw Data'!$G$2:$G$261,'Raw Data'!$L$2:$L$261,1)</f>
        <v>454</v>
      </c>
    </row>
    <row r="16">
      <c r="A16" s="13" t="s">
        <v>62</v>
      </c>
      <c r="B16" s="11">
        <f>SUMIFS('Raw Data'!$I$2:$I$261,'Raw Data'!$L$2:$L$261,2)</f>
        <v>33591</v>
      </c>
      <c r="C16" s="11">
        <f>SUMIFS('Raw Data'!$K$2:$K$261,'Raw Data'!$L$2:$L$261,2)</f>
        <v>12780.21</v>
      </c>
      <c r="D16" s="16">
        <f>SUMIFS('Raw Data'!$G$2:$G$261,'Raw Data'!$L$2:$L$261,2)</f>
        <v>432</v>
      </c>
    </row>
    <row r="17">
      <c r="A17" s="13" t="s">
        <v>78</v>
      </c>
      <c r="B17" s="11">
        <f>SUMIFS('Raw Data'!$I$2:$I$261,'Raw Data'!$L$2:$L$261,3)</f>
        <v>58659</v>
      </c>
      <c r="C17" s="11">
        <f>SUMIFS('Raw Data'!$K$2:$K$261,'Raw Data'!$L$2:$L$261,3)</f>
        <v>20132.29</v>
      </c>
      <c r="D17" s="16">
        <f>SUMIFS('Raw Data'!$G$2:$G$261,'Raw Data'!$L$2:$L$261,3)</f>
        <v>650</v>
      </c>
    </row>
    <row r="18">
      <c r="A18" s="13" t="s">
        <v>89</v>
      </c>
      <c r="B18" s="11">
        <f>SUMIFS('Raw Data'!$I$2:$I$261,'Raw Data'!$L$2:$L$261,4)</f>
        <v>32615</v>
      </c>
      <c r="C18" s="11">
        <f>SUMIFS('Raw Data'!$K$2:$K$261,'Raw Data'!$L$2:$L$261,4)</f>
        <v>10963.21</v>
      </c>
      <c r="D18" s="16">
        <f>SUMIFS('Raw Data'!$G$2:$G$261,'Raw Data'!$L$2:$L$261,4)</f>
        <v>250</v>
      </c>
    </row>
    <row r="19">
      <c r="A19" s="13" t="s">
        <v>91</v>
      </c>
      <c r="B19" s="11">
        <f>SUMIFS('Raw Data'!$I$2:$I$261,'Raw Data'!$L$2:$L$261,5)</f>
        <v>54903</v>
      </c>
      <c r="C19" s="11">
        <f>SUMIFS('Raw Data'!$K$2:$K$261,'Raw Data'!$L$2:$L$261,5)</f>
        <v>20122.69</v>
      </c>
      <c r="D19" s="16">
        <f>SUMIFS('Raw Data'!$G$2:$G$261,'Raw Data'!$L$2:$L$261,5)</f>
        <v>541</v>
      </c>
    </row>
    <row r="20">
      <c r="A20" s="13" t="s">
        <v>95</v>
      </c>
      <c r="B20" s="11">
        <f>SUMIFS('Raw Data'!$I$2:$I$261,'Raw Data'!$L$2:$L$261,6)</f>
        <v>29678</v>
      </c>
      <c r="C20" s="11">
        <f>SUMIFS('Raw Data'!$K$2:$K$261,'Raw Data'!$L$2:$L$261,6)</f>
        <v>10186.67</v>
      </c>
      <c r="D20" s="16">
        <f>SUMIFS('Raw Data'!$G$2:$G$261,'Raw Data'!$L$2:$L$261,6)</f>
        <v>275</v>
      </c>
    </row>
    <row r="21" ht="15.75" customHeight="1">
      <c r="A21" s="13" t="s">
        <v>99</v>
      </c>
      <c r="B21" s="11">
        <f>SUMIFS('Raw Data'!$I$2:$I$261,'Raw Data'!$L$2:$L$261,7)</f>
        <v>39748</v>
      </c>
      <c r="C21" s="11">
        <f>SUMIFS('Raw Data'!$K$2:$K$261,'Raw Data'!$L$2:$L$261,7)</f>
        <v>14626.25</v>
      </c>
      <c r="D21" s="16">
        <f>SUMIFS('Raw Data'!$G$2:$G$261,'Raw Data'!$L$2:$L$261,7)</f>
        <v>502</v>
      </c>
    </row>
    <row r="22" ht="15.75" customHeight="1">
      <c r="A22" s="13" t="s">
        <v>102</v>
      </c>
      <c r="B22" s="11">
        <f>SUMIFS('Raw Data'!$I$2:$I$261,'Raw Data'!$L$2:$L$261,8)</f>
        <v>38716</v>
      </c>
      <c r="C22" s="11">
        <f>SUMIFS('Raw Data'!$K$2:$K$261,'Raw Data'!$L$2:$L$261,8)</f>
        <v>14675.72</v>
      </c>
      <c r="D22" s="16">
        <f>SUMIFS('Raw Data'!$G$2:$G$261,'Raw Data'!$L$2:$L$261,8)</f>
        <v>384</v>
      </c>
    </row>
    <row r="23" ht="15.75" customHeight="1">
      <c r="A23" s="13" t="s">
        <v>106</v>
      </c>
      <c r="B23" s="11">
        <f>SUMIFS('Raw Data'!$I$2:$I$261,'Raw Data'!$L$2:$L$261,9)</f>
        <v>41082</v>
      </c>
      <c r="C23" s="11">
        <f>SUMIFS('Raw Data'!$K$2:$K$261,'Raw Data'!$L$2:$L$261,9)</f>
        <v>14673.14</v>
      </c>
      <c r="D23" s="16">
        <f>SUMIFS('Raw Data'!$G$2:$G$261,'Raw Data'!$L$2:$L$261,9)</f>
        <v>478</v>
      </c>
    </row>
    <row r="24" ht="15.75" customHeight="1">
      <c r="A24" s="13" t="s">
        <v>108</v>
      </c>
      <c r="B24" s="11">
        <f>SUMIFS('Raw Data'!$I$2:$I$261,'Raw Data'!$L$2:$L$261,10)</f>
        <v>41637</v>
      </c>
      <c r="C24" s="11">
        <f>SUMIFS('Raw Data'!$K$2:$K$261,'Raw Data'!$L$2:$L$261,10)</f>
        <v>14805.88</v>
      </c>
      <c r="D24" s="16">
        <f>SUMIFS('Raw Data'!$G$2:$G$261,'Raw Data'!$L$2:$L$261,10)</f>
        <v>495</v>
      </c>
    </row>
    <row r="25" ht="15.75" customHeight="1">
      <c r="A25" s="13" t="s">
        <v>110</v>
      </c>
      <c r="B25" s="11">
        <f>SUMIFS('Raw Data'!$I$2:$I$261,'Raw Data'!$L$2:$L$261,11)</f>
        <v>51888</v>
      </c>
      <c r="C25" s="11">
        <f>SUMIFS('Raw Data'!$K$2:$K$261,'Raw Data'!$L$2:$L$261,11)</f>
        <v>18800.27</v>
      </c>
      <c r="D25" s="16">
        <f>SUMIFS('Raw Data'!$G$2:$G$261,'Raw Data'!$L$2:$L$261,11)</f>
        <v>472</v>
      </c>
    </row>
    <row r="26" ht="15.75" customHeight="1">
      <c r="A26" s="13" t="s">
        <v>114</v>
      </c>
      <c r="B26" s="11">
        <f>SUMIFS('Raw Data'!$I$2:$I$261,'Raw Data'!$L$2:$L$261,12)</f>
        <v>55366</v>
      </c>
      <c r="C26" s="11">
        <f>SUMIFS('Raw Data'!$K$2:$K$261,'Raw Data'!$L$2:$L$261,12)</f>
        <v>20500</v>
      </c>
      <c r="D26" s="16">
        <f>SUMIFS('Raw Data'!$G$2:$G$261,'Raw Data'!$L$2:$L$261,12)</f>
        <v>515</v>
      </c>
    </row>
    <row r="27" ht="15.75" customHeight="1"/>
    <row r="28" ht="15.75" customHeight="1"/>
    <row r="29" ht="15.75" customHeight="1">
      <c r="A29" s="4" t="s">
        <v>118</v>
      </c>
    </row>
    <row r="30" ht="15.75" customHeight="1">
      <c r="A30" s="1" t="s">
        <v>7</v>
      </c>
      <c r="B30" s="1" t="s">
        <v>11</v>
      </c>
      <c r="C30" s="1" t="s">
        <v>13</v>
      </c>
      <c r="D30" s="1" t="s">
        <v>119</v>
      </c>
      <c r="E30" s="1" t="s">
        <v>120</v>
      </c>
    </row>
    <row r="31" ht="15.75" customHeight="1">
      <c r="A31" s="13" t="s">
        <v>34</v>
      </c>
      <c r="B31" s="11">
        <f>SUMIFS('Raw Data'!$I$2:$I$261,'Raw Data'!$F$2:$F$261,$A31)</f>
        <v>75061</v>
      </c>
      <c r="C31" s="11">
        <f>SUMIFS('Raw Data'!$K$2:$K$261,'Raw Data'!$F$2:$F$261,$A31)</f>
        <v>26462.22</v>
      </c>
      <c r="D31" s="16">
        <f>COUNTIFS('Raw Data'!$F$2:$F$261,$A31)</f>
        <v>51</v>
      </c>
      <c r="E31" s="11">
        <f t="shared" ref="E31:E36" si="3">IFERROR(B31/D31,0)</f>
        <v>1471.784314</v>
      </c>
    </row>
    <row r="32" ht="15.75" customHeight="1">
      <c r="A32" s="13" t="s">
        <v>24</v>
      </c>
      <c r="B32" s="11">
        <f>SUMIFS('Raw Data'!$I$2:$I$261,'Raw Data'!$F$2:$F$261,$A32)</f>
        <v>81688</v>
      </c>
      <c r="C32" s="11">
        <f>SUMIFS('Raw Data'!$K$2:$K$261,'Raw Data'!$F$2:$F$261,$A32)</f>
        <v>29953.17</v>
      </c>
      <c r="D32" s="16">
        <f>COUNTIFS('Raw Data'!$F$2:$F$261,$A32)</f>
        <v>49</v>
      </c>
      <c r="E32" s="11">
        <f t="shared" si="3"/>
        <v>1667.102041</v>
      </c>
    </row>
    <row r="33" ht="15.75" customHeight="1">
      <c r="A33" s="13" t="s">
        <v>44</v>
      </c>
      <c r="B33" s="11">
        <f>SUMIFS('Raw Data'!$I$2:$I$261,'Raw Data'!$F$2:$F$261,$A33)</f>
        <v>121371</v>
      </c>
      <c r="C33" s="11">
        <f>SUMIFS('Raw Data'!$K$2:$K$261,'Raw Data'!$F$2:$F$261,$A33)</f>
        <v>43930.75</v>
      </c>
      <c r="D33" s="16">
        <f>COUNTIFS('Raw Data'!$F$2:$F$261,$A33)</f>
        <v>48</v>
      </c>
      <c r="E33" s="11">
        <f t="shared" si="3"/>
        <v>2528.5625</v>
      </c>
    </row>
    <row r="34" ht="15.75" customHeight="1">
      <c r="A34" s="13" t="s">
        <v>32</v>
      </c>
      <c r="B34" s="11">
        <f>SUMIFS('Raw Data'!$I$2:$I$261,'Raw Data'!$F$2:$F$261,$A34)</f>
        <v>107330</v>
      </c>
      <c r="C34" s="11">
        <f>SUMIFS('Raw Data'!$K$2:$K$261,'Raw Data'!$F$2:$F$261,$A34)</f>
        <v>38769.76</v>
      </c>
      <c r="D34" s="16">
        <f>COUNTIFS('Raw Data'!$F$2:$F$261,$A34)</f>
        <v>38</v>
      </c>
      <c r="E34" s="11">
        <f t="shared" si="3"/>
        <v>2824.473684</v>
      </c>
    </row>
    <row r="35" ht="15.75" customHeight="1">
      <c r="A35" s="13" t="s">
        <v>38</v>
      </c>
      <c r="B35" s="11">
        <f>SUMIFS('Raw Data'!$I$2:$I$261,'Raw Data'!$F$2:$F$261,$A35)</f>
        <v>69374</v>
      </c>
      <c r="C35" s="11">
        <f>SUMIFS('Raw Data'!$K$2:$K$261,'Raw Data'!$F$2:$F$261,$A35)</f>
        <v>25827.41</v>
      </c>
      <c r="D35" s="16">
        <f>COUNTIFS('Raw Data'!$F$2:$F$261,$A35)</f>
        <v>38</v>
      </c>
      <c r="E35" s="11">
        <f t="shared" si="3"/>
        <v>1825.631579</v>
      </c>
    </row>
    <row r="36" ht="15.75" customHeight="1">
      <c r="A36" s="13" t="s">
        <v>41</v>
      </c>
      <c r="B36" s="11">
        <f>SUMIFS('Raw Data'!$I$2:$I$261,'Raw Data'!$F$2:$F$261,$A36)</f>
        <v>72618</v>
      </c>
      <c r="C36" s="11">
        <f>SUMIFS('Raw Data'!$K$2:$K$261,'Raw Data'!$F$2:$F$261,$A36)</f>
        <v>25991.03</v>
      </c>
      <c r="D36" s="16">
        <f>COUNTIFS('Raw Data'!$F$2:$F$261,$A36)</f>
        <v>36</v>
      </c>
      <c r="E36" s="11">
        <f t="shared" si="3"/>
        <v>2017.166667</v>
      </c>
    </row>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conditionalFormatting sqref="B6:E9">
    <cfRule type="colorScale" priority="1">
      <colorScale>
        <cfvo type="min" val="0"/>
        <cfvo type="max" val="0"/>
        <color rgb="FFFFF2CC"/>
        <color rgb="FF2E75B6"/>
      </colorScale>
    </cfRule>
  </conditionalFormatting>
  <printOptions/>
  <pageMargins bottom="1.0" footer="0.0" header="0.0" left="0.75" right="0.75" top="1.0"/>
  <pageSetup paperSize="9"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3C47D"/>
    <pageSetUpPr/>
  </sheetPr>
  <sheetViews>
    <sheetView showGridLines="0" workbookViewId="0"/>
  </sheetViews>
  <sheetFormatPr customHeight="1" defaultColWidth="14.43" defaultRowHeight="15.0"/>
  <cols>
    <col customWidth="1" min="1" max="1" width="16.0"/>
    <col customWidth="1" min="2" max="8" width="13.0"/>
    <col customWidth="1" min="9" max="9" width="20.0"/>
    <col customWidth="1" min="10" max="10" width="13.0"/>
    <col customWidth="1" min="11" max="26" width="8.71"/>
  </cols>
  <sheetData>
    <row r="1">
      <c r="A1" s="2" t="s">
        <v>148</v>
      </c>
    </row>
    <row r="2">
      <c r="A2" s="3" t="s">
        <v>149</v>
      </c>
      <c r="K2" s="10" t="b">
        <v>0</v>
      </c>
      <c r="L2" s="20" t="s">
        <v>151</v>
      </c>
    </row>
    <row r="4">
      <c r="A4" s="21" t="s">
        <v>152</v>
      </c>
      <c r="B4" s="22" t="s">
        <v>154</v>
      </c>
      <c r="D4" s="21" t="s">
        <v>156</v>
      </c>
      <c r="E4" s="22" t="s">
        <v>154</v>
      </c>
    </row>
    <row r="6">
      <c r="A6" s="23" t="s">
        <v>157</v>
      </c>
      <c r="B6" s="24"/>
      <c r="C6" s="23" t="s">
        <v>159</v>
      </c>
      <c r="D6" s="24"/>
      <c r="E6" s="23" t="s">
        <v>55</v>
      </c>
      <c r="F6" s="24"/>
      <c r="G6" s="23" t="s">
        <v>119</v>
      </c>
      <c r="H6" s="24"/>
      <c r="I6" s="25" t="s">
        <v>161</v>
      </c>
      <c r="J6" s="24"/>
    </row>
    <row r="7">
      <c r="A7" s="26">
        <f>SUMPRODUCT(('Raw Data'!$C$2:$C$261=IF($B$4="All",'Raw Data'!$C$2:$C$261,$B$4))*('Raw Data'!$D$2:$D$261=IF($E$4="All",'Raw Data'!$D$2:$D$261,$E$4))*'Raw Data'!$I$2:$I$261)</f>
        <v>527442</v>
      </c>
      <c r="B7" s="24"/>
      <c r="C7" s="26">
        <f>SUMPRODUCT(('Raw Data'!$C$2:$C$261=IF($B$4="All",'Raw Data'!$C$2:$C$261,$B$4))*('Raw Data'!$D$2:$D$261=IF($E$4="All",'Raw Data'!$D$2:$D$261,$E$4))*'Raw Data'!$K$2:$K$261)</f>
        <v>190934.34</v>
      </c>
      <c r="D7" s="24"/>
      <c r="E7" s="27">
        <f>SUMPRODUCT(('Raw Data'!$C$2:$C$261=IF($B$4="All",'Raw Data'!$C$2:$C$261,$B$4))*('Raw Data'!$D$2:$D$261=IF($E$4="All",'Raw Data'!$D$2:$D$261,$E$4))*'Raw Data'!$G$2:$G$261)</f>
        <v>5448</v>
      </c>
      <c r="F7" s="24"/>
      <c r="G7" s="27">
        <f>SUMPRODUCT(('Raw Data'!$C$2:$C$261=IF($B$4="All",'Raw Data'!$C$2:$C$261,$B$4))*('Raw Data'!$D$2:$D$261=IF($E$4="All",'Raw Data'!$D$2:$D$261,$E$4)))</f>
        <v>260</v>
      </c>
      <c r="H7" s="24"/>
      <c r="I7" s="28">
        <f>IFERROR(SUMPRODUCT(('Raw Data'!$C$2:$C$261=IF($B$4="All",'Raw Data'!$C$2:$C$261,$B$4))*('Raw Data'!$D$2:$D$261=IF($E$4="All",'Raw Data'!$D$2:$D$261,$E$4))*'Raw Data'!$K$2:$K$261)/SUMPRODUCT(('Raw Data'!$C$2:$C$261=IF($B$4="All",'Raw Data'!$C$2:$C$261,$B$4))*('Raw Data'!$D$2:$D$261=IF($E$4="All",'Raw Data'!$D$2:$D$261,$E$4))*'Raw Data'!$I$2:$I$261),0)</f>
        <v>0.362000637</v>
      </c>
      <c r="J7" s="24"/>
    </row>
    <row r="10">
      <c r="A10" s="4" t="s">
        <v>175</v>
      </c>
      <c r="F10" s="4" t="s">
        <v>177</v>
      </c>
    </row>
    <row r="21" ht="15.75" customHeight="1"/>
    <row r="22" ht="15.75" customHeight="1"/>
    <row r="23" ht="15.75" customHeight="1"/>
    <row r="24" ht="15.75" customHeight="1"/>
    <row r="25" ht="15.75" customHeight="1"/>
    <row r="26" ht="15.75" customHeight="1"/>
    <row r="27" ht="15.75" customHeight="1"/>
    <row r="28" ht="15.75" customHeight="1">
      <c r="A28" s="4" t="s">
        <v>178</v>
      </c>
      <c r="I28" s="4" t="s">
        <v>179</v>
      </c>
    </row>
    <row r="29" ht="15.75" customHeight="1">
      <c r="I29" s="1" t="s">
        <v>7</v>
      </c>
      <c r="J29" s="1" t="s">
        <v>11</v>
      </c>
    </row>
    <row r="30" ht="15.75" customHeight="1">
      <c r="I30" s="29" t="str">
        <f>'Pivot Summary'!A31</f>
        <v>Amara Okafor</v>
      </c>
      <c r="J30" s="11">
        <f>'Pivot Summary'!B31</f>
        <v>75061</v>
      </c>
    </row>
    <row r="31" ht="15.75" customHeight="1">
      <c r="I31" s="29" t="str">
        <f>'Pivot Summary'!A32</f>
        <v>Liam Chen</v>
      </c>
      <c r="J31" s="11">
        <f>'Pivot Summary'!B32</f>
        <v>81688</v>
      </c>
    </row>
    <row r="32" ht="15.75" customHeight="1">
      <c r="I32" s="29" t="str">
        <f>'Pivot Summary'!A33</f>
        <v>Kwame Mensah</v>
      </c>
      <c r="J32" s="11">
        <f>'Pivot Summary'!B33</f>
        <v>121371</v>
      </c>
    </row>
    <row r="33" ht="15.75" customHeight="1">
      <c r="I33" s="29" t="str">
        <f>'Pivot Summary'!A34</f>
        <v>Priya Nair</v>
      </c>
      <c r="J33" s="11">
        <f>'Pivot Summary'!B34</f>
        <v>107330</v>
      </c>
    </row>
    <row r="34" ht="15.75" customHeight="1">
      <c r="I34" s="29" t="str">
        <f>'Pivot Summary'!A35</f>
        <v>Sofia Rossi</v>
      </c>
      <c r="J34" s="11">
        <f>'Pivot Summary'!B35</f>
        <v>69374</v>
      </c>
    </row>
    <row r="35" ht="15.75" customHeight="1">
      <c r="I35" s="29" t="str">
        <f>'Pivot Summary'!A36</f>
        <v>Diego Fernandez</v>
      </c>
      <c r="J35" s="11">
        <f>'Pivot Summary'!B36</f>
        <v>72618</v>
      </c>
    </row>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12">
    <mergeCell ref="A7:B7"/>
    <mergeCell ref="C7:D7"/>
    <mergeCell ref="E7:F7"/>
    <mergeCell ref="G7:H7"/>
    <mergeCell ref="I7:J7"/>
    <mergeCell ref="A1:H1"/>
    <mergeCell ref="A2:H2"/>
    <mergeCell ref="A6:B6"/>
    <mergeCell ref="C6:D6"/>
    <mergeCell ref="E6:F6"/>
    <mergeCell ref="G6:H6"/>
    <mergeCell ref="I6:J6"/>
  </mergeCells>
  <dataValidations>
    <dataValidation type="list" allowBlank="1" sqref="E4">
      <formula1>"All,Electronics,Apparel,Home &amp; Garden,Sports"</formula1>
    </dataValidation>
    <dataValidation type="list" allowBlank="1" sqref="B4">
      <formula1>"All,North,South,East,West"</formula1>
    </dataValidation>
  </dataValidations>
  <printOptions/>
  <pageMargins bottom="1.0" footer="0.0" header="0.0" left="0.75" right="0.75" top="1.0"/>
  <pageSetup paperSize="9"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2" width="31.57"/>
  </cols>
  <sheetData>
    <row r="1">
      <c r="A1" s="9" t="s">
        <v>25</v>
      </c>
      <c r="B1" s="9" t="s">
        <v>26</v>
      </c>
    </row>
    <row r="2">
      <c r="A2" s="10" t="s">
        <v>27</v>
      </c>
      <c r="B2" s="10" t="s">
        <v>28</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00.0"/>
    <col customWidth="1" min="2" max="26" width="8.71"/>
  </cols>
  <sheetData>
    <row r="1">
      <c r="A1" s="2"/>
    </row>
    <row r="3" ht="18.0" customHeight="1">
      <c r="A3" s="14" t="s">
        <v>59</v>
      </c>
    </row>
    <row r="4" ht="30.0" customHeight="1">
      <c r="A4" s="15" t="s">
        <v>60</v>
      </c>
    </row>
    <row r="5" ht="30.0" customHeight="1">
      <c r="A5" s="15" t="s">
        <v>63</v>
      </c>
    </row>
    <row r="6" ht="51.75" customHeight="1">
      <c r="A6" s="15" t="s">
        <v>64</v>
      </c>
    </row>
    <row r="7" ht="29.25" customHeight="1">
      <c r="A7" s="17" t="s">
        <v>65</v>
      </c>
    </row>
    <row r="8" ht="18.0" customHeight="1">
      <c r="A8" s="18" t="s">
        <v>66</v>
      </c>
    </row>
    <row r="9" ht="18.0" customHeight="1">
      <c r="A9" s="18" t="s">
        <v>67</v>
      </c>
    </row>
    <row r="10" ht="18.0" customHeight="1">
      <c r="A10" s="18" t="s">
        <v>69</v>
      </c>
    </row>
    <row r="11" ht="18.0" customHeight="1">
      <c r="A11" s="18" t="s">
        <v>70</v>
      </c>
    </row>
    <row r="12" ht="18.0" customHeight="1">
      <c r="A12" s="18"/>
    </row>
    <row r="13" ht="18.0" customHeight="1">
      <c r="A13" s="14" t="s">
        <v>71</v>
      </c>
    </row>
    <row r="14" ht="45.75" customHeight="1">
      <c r="A14" s="15" t="s">
        <v>72</v>
      </c>
    </row>
    <row r="15" ht="18.0" customHeight="1">
      <c r="A15" s="19" t="s">
        <v>73</v>
      </c>
    </row>
    <row r="16" ht="18.0" customHeight="1">
      <c r="A16" s="18" t="s">
        <v>74</v>
      </c>
    </row>
    <row r="17" ht="18.0" customHeight="1">
      <c r="A17" s="19" t="s">
        <v>75</v>
      </c>
    </row>
    <row r="18" ht="30.0" customHeight="1">
      <c r="A18" s="18" t="s">
        <v>76</v>
      </c>
    </row>
    <row r="19" ht="30.0" customHeight="1">
      <c r="A19" s="19" t="s">
        <v>77</v>
      </c>
    </row>
    <row r="20" ht="30.0" customHeight="1">
      <c r="A20" s="18" t="s">
        <v>79</v>
      </c>
    </row>
    <row r="21" ht="18.0" customHeight="1">
      <c r="A21" s="18"/>
    </row>
    <row r="22" ht="18.0" customHeight="1">
      <c r="A22" s="14" t="s">
        <v>80</v>
      </c>
    </row>
    <row r="23" ht="18.0" customHeight="1">
      <c r="A23" s="15" t="s">
        <v>81</v>
      </c>
    </row>
    <row r="24" ht="18.0" customHeight="1">
      <c r="A24" s="15" t="s">
        <v>82</v>
      </c>
    </row>
    <row r="25" ht="18.0" customHeight="1">
      <c r="A25" s="15" t="s">
        <v>83</v>
      </c>
    </row>
    <row r="26" ht="18.0" customHeight="1">
      <c r="A26" s="18"/>
    </row>
    <row r="27" ht="18.0" customHeight="1">
      <c r="A27" s="14" t="s">
        <v>84</v>
      </c>
    </row>
    <row r="28" ht="30.0" customHeight="1">
      <c r="A28" s="15" t="s">
        <v>86</v>
      </c>
    </row>
    <row r="29" ht="30.0" customHeight="1">
      <c r="A29" s="18" t="s">
        <v>87</v>
      </c>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1.0" footer="0.0" header="0.0" left="0.75" right="0.75" top="1.0"/>
  <pageSetup paperSize="9" orientation="portrait"/>
  <drawing r:id="rId1"/>
</worksheet>
</file>